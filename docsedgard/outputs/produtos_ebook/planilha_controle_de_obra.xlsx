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ff232a12d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c1ca731ce214b2e"/>
    <x:sheet xmlns:r="http://schemas.openxmlformats.org/officeDocument/2006/relationships" name="Orcamento" sheetId="2" r:id="R98cdf1f936794a34"/>
    <x:sheet xmlns:r="http://schemas.openxmlformats.org/officeDocument/2006/relationships" name="Fornecedores" sheetId="3" r:id="R783b2ef0e9634a3f"/>
    <x:sheet xmlns:r="http://schemas.openxmlformats.org/officeDocument/2006/relationships" name="Pagamentos" sheetId="4" r:id="Rc8821a70434142ce"/>
    <x:sheet xmlns:r="http://schemas.openxmlformats.org/officeDocument/2006/relationships" name="Cronograma" sheetId="5" r:id="R293fd0fccde14d8f"/>
    <x:sheet xmlns:r="http://schemas.openxmlformats.org/officeDocument/2006/relationships" name="Diario de Obra" sheetId="6" r:id="R49dc0db0f035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dd/mm/yyyy"/>
    <x:numFmt numFmtId="202" formatCode="0.0%"/>
  </x:numFmts>
  <x:fonts count="4">
    <x:font>
      <x:sz val="11"/>
      <x:name val="Carlito"/>
    </x:font>
    <x:font>
      <x:b/>
      <x:sz val="18"/>
      <x:color rgb="FFC8A84B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090F"/>
      </x:patternFill>
    </x:fill>
    <x:fill>
      <x:patternFill patternType="solid">
        <x:fgColor rgb="FF0C132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54833412a491a" /><Relationship Type="http://schemas.openxmlformats.org/officeDocument/2006/relationships/theme" Target="/xl/theme/theme1.xml" Id="R0b2465257bbe4d3e" /><Relationship Type="http://schemas.openxmlformats.org/officeDocument/2006/relationships/sharedStrings" Target="/xl/sharedStrings.xml" Id="R64123d3b2a31417a" /><Relationship Type="http://schemas.openxmlformats.org/officeDocument/2006/relationships/worksheet" Target="/xl/worksheets/sheet1.xml" Id="Rcc1ca731ce214b2e" /><Relationship Type="http://schemas.openxmlformats.org/officeDocument/2006/relationships/worksheet" Target="/xl/worksheets/sheet2.xml" Id="R98cdf1f936794a34" /><Relationship Type="http://schemas.openxmlformats.org/officeDocument/2006/relationships/worksheet" Target="/xl/worksheets/sheet3.xml" Id="R783b2ef0e9634a3f" /><Relationship Type="http://schemas.openxmlformats.org/officeDocument/2006/relationships/worksheet" Target="/xl/worksheets/sheet4.xml" Id="Rc8821a70434142ce" /><Relationship Type="http://schemas.openxmlformats.org/officeDocument/2006/relationships/worksheet" Target="/xl/worksheets/sheet5.xml" Id="R293fd0fccde14d8f" /><Relationship Type="http://schemas.openxmlformats.org/officeDocument/2006/relationships/worksheet" Target="/xl/worksheets/sheet6.xml" Id="R49dc0db0f03549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c9a159212844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Previsto vs Realizado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Previsto</c:v>
          </c:tx>
          <c:cat>
            <c:strRef>
              <c:f>'Resumo'!$A$16:$A$17</c:f>
              <c:strCache>
                <c:ptCount val="0"/>
              </c:strCache>
            </c:strRef>
          </c:cat>
          <c:val>
            <c:numRef>
              <c:f>'Resumo'!$B$16:$B$17</c:f>
              <c:numCache>
                <c:formatCode>R$ #,##0.00</c:formatCode>
                <c:ptCount val="0"/>
              </c:numCache>
            </c:numRef>
          </c:val>
        </c:ser>
        <c:ser>
          <c:idx val="1"/>
          <c:order val="1"/>
          <c:tx>
            <c:v>Realizado</c:v>
          </c:tx>
          <c:cat>
            <c:strRef>
              <c:f>'Resumo'!$A$16:$A$17</c:f>
              <c:strCache>
                <c:ptCount val="0"/>
              </c:strCache>
            </c:strRef>
          </c:cat>
          <c:val>
            <c:numRef>
              <c:f>'Resumo'!$C$16:$C$17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c9a159212844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Orcamento" displayName="TabelaOrcamento" ref="A3:J18" headerRowCount="1">
  <x:tableColumns count="10">
    <x:tableColumn id="1" name="Categoria"/>
    <x:tableColumn id="2" name="Etapa"/>
    <x:tableColumn id="3" name="Item"/>
    <x:tableColumn id="4" name="Unidade"/>
    <x:tableColumn id="5" name="Qtd"/>
    <x:tableColumn id="6" name="Valor unitario"/>
    <x:tableColumn id="7" name="Previsto"/>
    <x:tableColumn id="8" name="Realizado"/>
    <x:tableColumn id="9" name="Diferenca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3" name="TabelaFornecedores" displayName="TabelaFornecedores" ref="A3:H10" headerRowCount="1">
  <x:tableColumns count="8">
    <x:tableColumn id="1" name="Fornecedor"/>
    <x:tableColumn id="2" name="Servico"/>
    <x:tableColumn id="3" name="Contato"/>
    <x:tableColumn id="4" name="Orcamento"/>
    <x:tableColumn id="5" name="Prazo"/>
    <x:tableColumn id="6" name="Nota"/>
    <x:tableColumn id="7" name="Risco"/>
    <x:tableColumn id="8" name="Observacoes"/>
  </x:tableColumns>
  <x:tableStyleInfo name="TableStyleMedium2" showRowStripes="1"/>
</x:table>
</file>

<file path=xl/tables/table3.xml><?xml version="1.0" encoding="utf-8"?>
<x:table xmlns:x="http://schemas.openxmlformats.org/spreadsheetml/2006/main" id="2" name="TabelaPagamentos" displayName="TabelaPagamentos" ref="A3:H13" headerRowCount="1">
  <x:tableColumns count="8">
    <x:tableColumn id="1" name="Data"/>
    <x:tableColumn id="2" name="Fornecedor"/>
    <x:tableColumn id="3" name="Categoria"/>
    <x:tableColumn id="4" name="Descricao"/>
    <x:tableColumn id="5" name="Forma"/>
    <x:tableColumn id="6" name="Previsto"/>
    <x:tableColumn id="7" name="Pago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abelaCronograma" displayName="TabelaCronograma" ref="A3:H14" headerRowCount="1">
  <x:tableColumns count="8">
    <x:tableColumn id="1" name="Etapa"/>
    <x:tableColumn id="2" name="Responsavel"/>
    <x:tableColumn id="3" name="Inicio previsto"/>
    <x:tableColumn id="4" name="Fim previsto"/>
    <x:tableColumn id="5" name="Inicio real"/>
    <x:tableColumn id="6" name="Fim real"/>
    <x:tableColumn id="7" name="% concluido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abelaDiario" displayName="TabelaDiario" ref="A3:G13" headerRowCount="1">
  <x:tableColumns count="7">
    <x:tableColumn id="1" name="Data"/>
    <x:tableColumn id="2" name="Clima"/>
    <x:tableColumn id="3" name="Equipe"/>
    <x:tableColumn id="4" name="Atividades executadas"/>
    <x:tableColumn id="5" name="Ocorrencias"/>
    <x:tableColumn id="6" name="Fotos/links"/>
    <x:tableColumn id="7" name="Proxima 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8df5b533ba43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3a35093b5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521e236e4e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85f594745b45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091d9f995d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2c7cbf2d3641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80001068115234" hidden="0" customWidth="1"/>
    <x:col min="2" max="2" width="40.25" hidden="0" customWidth="1"/>
    <x:col min="3" max="3" width="33.380001068115234" hidden="0" customWidth="1"/>
    <x:col min="4" max="4" width="33.380001068115234" hidden="0" customWidth="1"/>
    <x:col min="5" max="5" width="33.380001068115234" hidden="0" customWidth="1"/>
    <x:col min="6" max="6" width="33.380001068115234" hidden="0" customWidth="1"/>
    <x:col min="7" max="7" width="33.380001068115234" hidden="0" customWidth="1"/>
    <x:col min="8" max="8" width="33.380001068115234" hidden="0" customWidth="1"/>
  </x:cols>
  <x:sheetData>
    <x:row r="1" ht="31.5" customHeight="1">
      <x:c r="A1" s="4" t="str">
        <x:v>Resumo executivo da obra</x:v>
      </x:c>
      <x:c r="B1" s="4" t="str">
        <x:v>Resumo executivo da obra</x:v>
      </x:c>
      <x:c r="C1" s="4" t="str">
        <x:v>Resumo executivo da obra</x:v>
      </x:c>
      <x:c r="D1" s="4" t="str">
        <x:v>Resumo executivo da obra</x:v>
      </x:c>
      <x:c r="E1" s="4" t="str">
        <x:v>Resumo executivo da obra</x:v>
      </x:c>
      <x:c r="F1" s="4" t="str">
        <x:v>Resumo executivo da obra</x:v>
      </x:c>
      <x:c r="G1" s="4" t="str">
        <x:v>Resumo executivo da obra</x:v>
      </x:c>
      <x:c r="H1" s="4" t="str">
        <x:v>Resumo executivo da obra</x:v>
      </x:c>
    </x:row>
    <x:row r="3">
      <x:c r="A3" s="9" t="str">
        <x:v>Indicador</x:v>
      </x:c>
      <x:c r="B3" s="9" t="str">
        <x:v>Valor</x:v>
      </x:c>
      <x:c r="C3" s="9" t="str"/>
      <x:c r="D3" s="9" t="str">
        <x:v>Indicador</x:v>
      </x:c>
      <x:c r="E3" s="9" t="str">
        <x:v>Valor</x:v>
      </x:c>
      <x:c r="F3" s="9" t="str"/>
      <x:c r="G3" s="9" t="str">
        <x:v>Indicador</x:v>
      </x:c>
      <x:c r="H3" s="9" t="str">
        <x:v>Valor</x:v>
      </x:c>
    </x:row>
    <x:row r="4">
      <x:c r="A4" t="str">
        <x:v>Orcamento previsto</x:v>
      </x:c>
      <x:c r="B4" s="10" t="n">
        <x:f>SUM(Orcamento!G4:G18)</x:f>
        <x:v>223000</x:v>
      </x:c>
      <x:c r="C4" s="10" t="str"/>
      <x:c r="D4" s="10" t="str">
        <x:v>Total realizado</x:v>
      </x:c>
      <x:c r="E4" s="10" t="n">
        <x:f>SUM(Orcamento!H4:H18)</x:f>
        <x:v>0</x:v>
      </x:c>
      <x:c r="F4" s="10" t="str"/>
      <x:c r="G4" s="10" t="str">
        <x:v>Saldo previsto</x:v>
      </x:c>
      <x:c r="H4" s="10" t="n">
        <x:f>B4-E4</x:f>
        <x:v>223000</x:v>
      </x:c>
    </x:row>
    <x:row r="5">
      <x:c r="A5" t="str">
        <x:v>Pagamentos previstos</x:v>
      </x:c>
      <x:c r="B5" s="10" t="n">
        <x:f>SUM(Pagamentos!F4:F13)</x:f>
        <x:v>39500</x:v>
      </x:c>
      <x:c r="C5" s="10" t="str"/>
      <x:c r="D5" s="10" t="str">
        <x:v>Pagamentos feitos</x:v>
      </x:c>
      <x:c r="E5" s="10" t="n">
        <x:f>SUM(Pagamentos!G4:G13)</x:f>
        <x:v>0</x:v>
      </x:c>
      <x:c r="F5" s="10" t="str"/>
      <x:c r="G5" s="10" t="str">
        <x:v>Aberto a pagar</x:v>
      </x:c>
      <x:c r="H5" s="10" t="n">
        <x:f>B5-E5</x:f>
        <x:v>39500</x:v>
      </x:c>
    </x:row>
    <x:row r="6">
      <x:c r="A6" t="str">
        <x:v>Progresso medio</x:v>
      </x:c>
      <x:c r="B6" s="12" t="n">
        <x:f>AVERAGE(Cronograma!G4:G14)</x:f>
        <x:v>0</x:v>
      </x:c>
      <x:c r="C6" t="str"/>
      <x:c r="D6" t="str">
        <x:v>Etapas atrasadas</x:v>
      </x:c>
      <x:c r="E6" t="n">
        <x:f>COUNTIF(Cronograma!H4:H14,"Atrasado")</x:f>
        <x:v>0</x:v>
      </x:c>
      <x:c r="F6" t="str"/>
      <x:c r="G6" t="str">
        <x:v>Reserva tecnica</x:v>
      </x:c>
      <x:c r="H6" s="10" t="n">
        <x:f>SUMIF(Orcamento!A4:A18,"Reserva",Orcamento!G4:G18)</x:f>
        <x:v>15000</x:v>
      </x:c>
    </x:row>
    <x:row r="8">
      <x:c r="A8" s="14" t="str">
        <x:v>Instrucoes</x:v>
      </x:c>
      <x:c r="B8" s="14" t="str">
        <x:v>Edite as abas Orcamento, Pagamentos e Cronograma.</x:v>
      </x:c>
    </x:row>
    <x:row r="9">
      <x:c r="A9" s="14" t="str"/>
      <x:c r="B9" s="14" t="str">
        <x:v>Use a coluna Realizado para acompanhar gasto real.</x:v>
      </x:c>
    </x:row>
    <x:row r="10">
      <x:c r="A10" s="14" t="str"/>
      <x:c r="B10" s="14" t="str">
        <x:v>Registre fornecedores antes de fechar contrato.</x:v>
      </x:c>
    </x:row>
    <x:row r="11">
      <x:c r="A11" s="14" t="str"/>
      <x:c r="B11" s="14" t="str">
        <x:v>Atualize o Diario de Obra toda semana.</x:v>
      </x:c>
    </x:row>
    <x:row r="12">
      <x:c r="A12" s="14" t="str"/>
      <x:c r="B12" s="14" t="str">
        <x:v>Leve divergencias para o engenheiro responsavel.</x:v>
      </x:c>
    </x:row>
    <x:row r="15">
      <x:c r="A15" s="9" t="str">
        <x:v>Tipo</x:v>
      </x:c>
      <x:c r="B15" s="9" t="str">
        <x:v>Previsto</x:v>
      </x:c>
      <x:c r="C15" s="9" t="str">
        <x:v>Realizado</x:v>
      </x:c>
    </x:row>
    <x:row r="16">
      <x:c r="A16" t="str">
        <x:v>Obra</x:v>
      </x:c>
      <x:c r="B16" s="10" t="n">
        <x:f>B4</x:f>
        <x:v>223000</x:v>
      </x:c>
      <x:c r="C16" s="10" t="n">
        <x:f>E4</x:f>
        <x:v>0</x:v>
      </x:c>
    </x:row>
    <x:row r="17">
      <x:c r="A17" t="str">
        <x:v>Pagamentos</x:v>
      </x:c>
      <x:c r="B17" s="10" t="n">
        <x:f>B5</x:f>
        <x:v>39500</x:v>
      </x:c>
      <x:c r="C17" s="10" t="n">
        <x:f>E5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08df5b533ba435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75" hidden="0" customWidth="1"/>
    <x:col min="2" max="2" width="48.75" hidden="0" customWidth="1"/>
    <x:col min="3" max="3" width="48.75" hidden="0" customWidth="1"/>
    <x:col min="4" max="4" width="48.75" hidden="0" customWidth="1"/>
    <x:col min="5" max="5" width="48.75" hidden="0" customWidth="1"/>
    <x:col min="6" max="6" width="48.75" hidden="0" customWidth="1"/>
    <x:col min="7" max="7" width="48.75" hidden="0" customWidth="1"/>
    <x:col min="8" max="8" width="48.75" hidden="0" customWidth="1"/>
    <x:col min="9" max="9" width="48.75" hidden="0" customWidth="1"/>
    <x:col min="10" max="10" width="48.75" hidden="0" customWidth="1"/>
  </x:cols>
  <x:sheetData>
    <x:row r="1" ht="31.5" customHeight="1">
      <x:c r="A1" s="4" t="str">
        <x:v>Planilha Controle de Obra - Orcamento</x:v>
      </x:c>
      <x:c r="B1" s="4" t="str">
        <x:v>Planilha Controle de Obra - Orcamento</x:v>
      </x:c>
      <x:c r="C1" s="4" t="str">
        <x:v>Planilha Controle de Obra - Orcamento</x:v>
      </x:c>
      <x:c r="D1" s="4" t="str">
        <x:v>Planilha Controle de Obra - Orcamento</x:v>
      </x:c>
      <x:c r="E1" s="4" t="str">
        <x:v>Planilha Controle de Obra - Orcamento</x:v>
      </x:c>
      <x:c r="F1" s="4" t="str">
        <x:v>Planilha Controle de Obra - Orcamento</x:v>
      </x:c>
      <x:c r="G1" s="4" t="str">
        <x:v>Planilha Controle de Obra - Orcamento</x:v>
      </x:c>
      <x:c r="H1" s="4" t="str">
        <x:v>Planilha Controle de Obra - Orcamento</x:v>
      </x:c>
      <x:c r="I1" s="4" t="str">
        <x:v>Planilha Controle de Obra - Orcamento</x:v>
      </x:c>
      <x:c r="J1" s="4" t="str">
        <x:v>Planilha Controle de Obra - Orcamento</x:v>
      </x:c>
    </x:row>
    <x:row r="3">
      <x:c r="A3" s="9" t="str">
        <x:v>Categoria</x:v>
      </x:c>
      <x:c r="B3" s="9" t="str">
        <x:v>Etapa</x:v>
      </x:c>
      <x:c r="C3" s="9" t="str">
        <x:v>Item</x:v>
      </x:c>
      <x:c r="D3" s="9" t="str">
        <x:v>Unidade</x:v>
      </x:c>
      <x:c r="E3" s="9" t="str">
        <x:v>Qtd</x:v>
      </x:c>
      <x:c r="F3" s="9" t="str">
        <x:v>Valor unitario</x:v>
      </x:c>
      <x:c r="G3" s="9" t="str">
        <x:v>Previsto</x:v>
      </x:c>
      <x:c r="H3" s="9" t="str">
        <x:v>Realizado</x:v>
      </x:c>
      <x:c r="I3" s="9" t="str">
        <x:v>Diferenca</x:v>
      </x:c>
      <x:c r="J3" s="9" t="str">
        <x:v>Status</x:v>
      </x:c>
    </x:row>
    <x:row r="4">
      <x:c r="A4" t="str">
        <x:v>Projeto</x:v>
      </x:c>
      <x:c r="B4" t="str">
        <x:v>Planejamento</x:v>
      </x:c>
      <x:c r="C4" t="str">
        <x:v>Projeto arquitetonico</x:v>
      </x:c>
      <x:c r="D4" t="str">
        <x:v>un</x:v>
      </x:c>
      <x:c r="E4" t="n">
        <x:v>1</x:v>
      </x:c>
      <x:c r="F4" s="10" t="n">
        <x:v>4500</x:v>
      </x:c>
      <x:c r="G4" s="10" t="n">
        <x:f>E4*F4</x:f>
        <x:v>4500</x:v>
      </x:c>
      <x:c r="H4" s="10" t="n">
        <x:v>0</x:v>
      </x:c>
      <x:c r="I4" s="10" t="n">
        <x:f>H4-G4</x:f>
        <x:v>-4500</x:v>
      </x:c>
      <x:c r="J4" t="str">
        <x:v>Pendente</x:v>
      </x:c>
    </x:row>
    <x:row r="5">
      <x:c r="A5" t="str">
        <x:v>Projeto</x:v>
      </x:c>
      <x:c r="B5" t="str">
        <x:v>Planejamento</x:v>
      </x:c>
      <x:c r="C5" t="str">
        <x:v>Projeto estrutural</x:v>
      </x:c>
      <x:c r="D5" t="str">
        <x:v>un</x:v>
      </x:c>
      <x:c r="E5" t="n">
        <x:v>1</x:v>
      </x:c>
      <x:c r="F5" s="10" t="n">
        <x:v>3500</x:v>
      </x:c>
      <x:c r="G5" s="10" t="n">
        <x:f>E5*F5</x:f>
        <x:v>3500</x:v>
      </x:c>
      <x:c r="H5" s="10" t="n">
        <x:v>0</x:v>
      </x:c>
      <x:c r="I5" s="10" t="n">
        <x:f>H5-G5</x:f>
        <x:v>-3500</x:v>
      </x:c>
      <x:c r="J5" t="str">
        <x:v>Pendente</x:v>
      </x:c>
    </x:row>
    <x:row r="6">
      <x:c r="A6" t="str">
        <x:v>Terreno</x:v>
      </x:c>
      <x:c r="B6" t="str">
        <x:v>Preparacao</x:v>
      </x:c>
      <x:c r="C6" t="str">
        <x:v>Limpeza do terreno</x:v>
      </x:c>
      <x:c r="D6" t="str">
        <x:v>serv</x:v>
      </x:c>
      <x:c r="E6" t="n">
        <x:v>1</x:v>
      </x:c>
      <x:c r="F6" s="10" t="n">
        <x:v>1800</x:v>
      </x:c>
      <x:c r="G6" s="10" t="n">
        <x:f>E6*F6</x:f>
        <x:v>1800</x:v>
      </x:c>
      <x:c r="H6" s="10" t="n">
        <x:v>0</x:v>
      </x:c>
      <x:c r="I6" s="10" t="n">
        <x:f>H6-G6</x:f>
        <x:v>-1800</x:v>
      </x:c>
      <x:c r="J6" t="str">
        <x:v>Pendente</x:v>
      </x:c>
    </x:row>
    <x:row r="7">
      <x:c r="A7" t="str">
        <x:v>Fundacao</x:v>
      </x:c>
      <x:c r="B7" t="str">
        <x:v>Estrutura</x:v>
      </x:c>
      <x:c r="C7" t="str">
        <x:v>Sondagem do solo</x:v>
      </x:c>
      <x:c r="D7" t="str">
        <x:v>un</x:v>
      </x:c>
      <x:c r="E7" t="n">
        <x:v>1</x:v>
      </x:c>
      <x:c r="F7" s="10" t="n">
        <x:v>2500</x:v>
      </x:c>
      <x:c r="G7" s="10" t="n">
        <x:f>E7*F7</x:f>
        <x:v>2500</x:v>
      </x:c>
      <x:c r="H7" s="10" t="n">
        <x:v>0</x:v>
      </x:c>
      <x:c r="I7" s="10" t="n">
        <x:f>H7-G7</x:f>
        <x:v>-2500</x:v>
      </x:c>
      <x:c r="J7" t="str">
        <x:v>Pendente</x:v>
      </x:c>
    </x:row>
    <x:row r="8">
      <x:c r="A8" t="str">
        <x:v>Fundacao</x:v>
      </x:c>
      <x:c r="B8" t="str">
        <x:v>Estrutura</x:v>
      </x:c>
      <x:c r="C8" t="str">
        <x:v>Fundacao</x:v>
      </x:c>
      <x:c r="D8" t="str">
        <x:v>serv</x:v>
      </x:c>
      <x:c r="E8" t="n">
        <x:v>1</x:v>
      </x:c>
      <x:c r="F8" s="10" t="n">
        <x:v>28000</x:v>
      </x:c>
      <x:c r="G8" s="10" t="n">
        <x:f>E8*F8</x:f>
        <x:v>28000</x:v>
      </x:c>
      <x:c r="H8" s="10" t="n">
        <x:v>0</x:v>
      </x:c>
      <x:c r="I8" s="10" t="n">
        <x:f>H8-G8</x:f>
        <x:v>-28000</x:v>
      </x:c>
      <x:c r="J8" t="str">
        <x:v>Pendente</x:v>
      </x:c>
    </x:row>
    <x:row r="9">
      <x:c r="A9" t="str">
        <x:v>Estrutura</x:v>
      </x:c>
      <x:c r="B9" t="str">
        <x:v>Estrutura</x:v>
      </x:c>
      <x:c r="C9" t="str">
        <x:v>Concreto e ferragem</x:v>
      </x:c>
      <x:c r="D9" t="str">
        <x:v>serv</x:v>
      </x:c>
      <x:c r="E9" t="n">
        <x:v>1</x:v>
      </x:c>
      <x:c r="F9" s="10" t="n">
        <x:v>42000</x:v>
      </x:c>
      <x:c r="G9" s="10" t="n">
        <x:f>E9*F9</x:f>
        <x:v>42000</x:v>
      </x:c>
      <x:c r="H9" s="10" t="n">
        <x:v>0</x:v>
      </x:c>
      <x:c r="I9" s="10" t="n">
        <x:f>H9-G9</x:f>
        <x:v>-42000</x:v>
      </x:c>
      <x:c r="J9" t="str">
        <x:v>Pendente</x:v>
      </x:c>
    </x:row>
    <x:row r="10">
      <x:c r="A10" t="str">
        <x:v>Alvenaria</x:v>
      </x:c>
      <x:c r="B10" t="str">
        <x:v>Vedacao</x:v>
      </x:c>
      <x:c r="C10" t="str">
        <x:v>Blocos e argamassa</x:v>
      </x:c>
      <x:c r="D10" t="str">
        <x:v>serv</x:v>
      </x:c>
      <x:c r="E10" t="n">
        <x:v>1</x:v>
      </x:c>
      <x:c r="F10" s="10" t="n">
        <x:v>26000</x:v>
      </x:c>
      <x:c r="G10" s="10" t="n">
        <x:f>E10*F10</x:f>
        <x:v>26000</x:v>
      </x:c>
      <x:c r="H10" s="10" t="n">
        <x:v>0</x:v>
      </x:c>
      <x:c r="I10" s="10" t="n">
        <x:f>H10-G10</x:f>
        <x:v>-26000</x:v>
      </x:c>
      <x:c r="J10" t="str">
        <x:v>Pendente</x:v>
      </x:c>
    </x:row>
    <x:row r="11">
      <x:c r="A11" t="str">
        <x:v>Instalacoes</x:v>
      </x:c>
      <x:c r="B11" t="str">
        <x:v>Hidraulica</x:v>
      </x:c>
      <x:c r="C11" t="str">
        <x:v>Material hidraulico</x:v>
      </x:c>
      <x:c r="D11" t="str">
        <x:v>serv</x:v>
      </x:c>
      <x:c r="E11" t="n">
        <x:v>1</x:v>
      </x:c>
      <x:c r="F11" s="10" t="n">
        <x:v>12000</x:v>
      </x:c>
      <x:c r="G11" s="10" t="n">
        <x:f>E11*F11</x:f>
        <x:v>12000</x:v>
      </x:c>
      <x:c r="H11" s="10" t="n">
        <x:v>0</x:v>
      </x:c>
      <x:c r="I11" s="10" t="n">
        <x:f>H11-G11</x:f>
        <x:v>-12000</x:v>
      </x:c>
      <x:c r="J11" t="str">
        <x:v>Pendente</x:v>
      </x:c>
    </x:row>
    <x:row r="12">
      <x:c r="A12" t="str">
        <x:v>Instalacoes</x:v>
      </x:c>
      <x:c r="B12" t="str">
        <x:v>Eletrica</x:v>
      </x:c>
      <x:c r="C12" t="str">
        <x:v>Material eletrico</x:v>
      </x:c>
      <x:c r="D12" t="str">
        <x:v>serv</x:v>
      </x:c>
      <x:c r="E12" t="n">
        <x:v>1</x:v>
      </x:c>
      <x:c r="F12" s="10" t="n">
        <x:v>14500</x:v>
      </x:c>
      <x:c r="G12" s="10" t="n">
        <x:f>E12*F12</x:f>
        <x:v>14500</x:v>
      </x:c>
      <x:c r="H12" s="10" t="n">
        <x:v>0</x:v>
      </x:c>
      <x:c r="I12" s="10" t="n">
        <x:f>H12-G12</x:f>
        <x:v>-14500</x:v>
      </x:c>
      <x:c r="J12" t="str">
        <x:v>Pendente</x:v>
      </x:c>
    </x:row>
    <x:row r="13">
      <x:c r="A13" t="str">
        <x:v>Cobertura</x:v>
      </x:c>
      <x:c r="B13" t="str">
        <x:v>Telhado</x:v>
      </x:c>
      <x:c r="C13" t="str">
        <x:v>Estrutura e telhas</x:v>
      </x:c>
      <x:c r="D13" t="str">
        <x:v>serv</x:v>
      </x:c>
      <x:c r="E13" t="n">
        <x:v>1</x:v>
      </x:c>
      <x:c r="F13" s="10" t="n">
        <x:v>22000</x:v>
      </x:c>
      <x:c r="G13" s="10" t="n">
        <x:f>E13*F13</x:f>
        <x:v>22000</x:v>
      </x:c>
      <x:c r="H13" s="10" t="n">
        <x:v>0</x:v>
      </x:c>
      <x:c r="I13" s="10" t="n">
        <x:f>H13-G13</x:f>
        <x:v>-22000</x:v>
      </x:c>
      <x:c r="J13" t="str">
        <x:v>Pendente</x:v>
      </x:c>
    </x:row>
    <x:row r="14">
      <x:c r="A14" t="str">
        <x:v>Acabamento</x:v>
      </x:c>
      <x:c r="B14" t="str">
        <x:v>Piso</x:v>
      </x:c>
      <x:c r="C14" t="str">
        <x:v>Pisos e revestimentos</x:v>
      </x:c>
      <x:c r="D14" t="str">
        <x:v>m2</x:v>
      </x:c>
      <x:c r="E14" t="n">
        <x:v>120</x:v>
      </x:c>
      <x:c r="F14" s="10" t="n">
        <x:v>140</x:v>
      </x:c>
      <x:c r="G14" s="10" t="n">
        <x:f>E14*F14</x:f>
        <x:v>16800</x:v>
      </x:c>
      <x:c r="H14" s="10" t="n">
        <x:v>0</x:v>
      </x:c>
      <x:c r="I14" s="10" t="n">
        <x:f>H14-G14</x:f>
        <x:v>-16800</x:v>
      </x:c>
      <x:c r="J14" t="str">
        <x:v>Pendente</x:v>
      </x:c>
    </x:row>
    <x:row r="15">
      <x:c r="A15" t="str">
        <x:v>Acabamento</x:v>
      </x:c>
      <x:c r="B15" t="str">
        <x:v>Pintura</x:v>
      </x:c>
      <x:c r="C15" t="str">
        <x:v>Massa e pintura</x:v>
      </x:c>
      <x:c r="D15" t="str">
        <x:v>m2</x:v>
      </x:c>
      <x:c r="E15" t="n">
        <x:v>300</x:v>
      </x:c>
      <x:c r="F15" s="10" t="n">
        <x:v>38</x:v>
      </x:c>
      <x:c r="G15" s="10" t="n">
        <x:f>E15*F15</x:f>
        <x:v>11400</x:v>
      </x:c>
      <x:c r="H15" s="10" t="n">
        <x:v>0</x:v>
      </x:c>
      <x:c r="I15" s="10" t="n">
        <x:f>H15-G15</x:f>
        <x:v>-11400</x:v>
      </x:c>
      <x:c r="J15" t="str">
        <x:v>Pendente</x:v>
      </x:c>
    </x:row>
    <x:row r="16">
      <x:c r="A16" t="str">
        <x:v>Esquadrias</x:v>
      </x:c>
      <x:c r="B16" t="str">
        <x:v>Fechamento</x:v>
      </x:c>
      <x:c r="C16" t="str">
        <x:v>Portas e janelas</x:v>
      </x:c>
      <x:c r="D16" t="str">
        <x:v>serv</x:v>
      </x:c>
      <x:c r="E16" t="n">
        <x:v>1</x:v>
      </x:c>
      <x:c r="F16" s="10" t="n">
        <x:v>18000</x:v>
      </x:c>
      <x:c r="G16" s="10" t="n">
        <x:f>E16*F16</x:f>
        <x:v>18000</x:v>
      </x:c>
      <x:c r="H16" s="10" t="n">
        <x:v>0</x:v>
      </x:c>
      <x:c r="I16" s="10" t="n">
        <x:f>H16-G16</x:f>
        <x:v>-18000</x:v>
      </x:c>
      <x:c r="J16" t="str">
        <x:v>Pendente</x:v>
      </x:c>
    </x:row>
    <x:row r="17">
      <x:c r="A17" t="str">
        <x:v>Reserva</x:v>
      </x:c>
      <x:c r="B17" t="str">
        <x:v>Risco</x:v>
      </x:c>
      <x:c r="C17" t="str">
        <x:v>Reserva tecnica</x:v>
      </x:c>
      <x:c r="D17" t="str">
        <x:v>un</x:v>
      </x:c>
      <x:c r="E17" t="n">
        <x:v>1</x:v>
      </x:c>
      <x:c r="F17" s="10" t="n">
        <x:v>15000</x:v>
      </x:c>
      <x:c r="G17" s="10" t="n">
        <x:f>E17*F17</x:f>
        <x:v>15000</x:v>
      </x:c>
      <x:c r="H17" s="10" t="n">
        <x:v>0</x:v>
      </x:c>
      <x:c r="I17" s="10" t="n">
        <x:f>H17-G17</x:f>
        <x:v>-15000</x:v>
      </x:c>
      <x:c r="J17" t="str">
        <x:v>Pendente</x:v>
      </x:c>
    </x:row>
    <x:row r="18">
      <x:c r="A18" t="str">
        <x:v>Outros</x:v>
      </x:c>
      <x:c r="B18" t="str">
        <x:v>Geral</x:v>
      </x:c>
      <x:c r="C18" t="str">
        <x:v>Outros custos</x:v>
      </x:c>
      <x:c r="D18" t="str">
        <x:v>un</x:v>
      </x:c>
      <x:c r="E18" t="n">
        <x:v>1</x:v>
      </x:c>
      <x:c r="F18" s="10" t="n">
        <x:v>5000</x:v>
      </x:c>
      <x:c r="G18" s="10" t="n">
        <x:f>E18*F18</x:f>
        <x:v>5000</x:v>
      </x:c>
      <x:c r="H18" s="10" t="n">
        <x:v>0</x:v>
      </x:c>
      <x:c r="I18" s="10" t="n">
        <x:f>H18-G18</x:f>
        <x:v>-5000</x:v>
      </x:c>
      <x:c r="J18" t="str">
        <x:v>Pendente</x:v>
      </x:c>
    </x:row>
  </x:sheetData>
  <x:mergeCells>
    <x:mergeCell ref="A1:J1"/>
  </x:mergeCells>
  <x:dataValidations count="1">
    <x:dataValidation type="list" sqref="J4:J150">
      <x:formula1>"Pendente,Contratado,Em andamento,Concluido,Atrasado"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03a35093b544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880001068115234" hidden="0" customWidth="1"/>
    <x:col min="2" max="2" width="46.880001068115234" hidden="0" customWidth="1"/>
    <x:col min="3" max="3" width="46.880001068115234" hidden="0" customWidth="1"/>
    <x:col min="4" max="4" width="46.880001068115234" hidden="0" customWidth="1"/>
    <x:col min="5" max="5" width="46.880001068115234" hidden="0" customWidth="1"/>
    <x:col min="6" max="6" width="46.880001068115234" hidden="0" customWidth="1"/>
    <x:col min="7" max="7" width="46.880001068115234" hidden="0" customWidth="1"/>
    <x:col min="8" max="8" width="46.880001068115234" hidden="0" customWidth="1"/>
  </x:cols>
  <x:sheetData>
    <x:row r="1" ht="31.5" customHeight="1">
      <x:c r="A1" s="4" t="str">
        <x:v>Cadastro e avaliacao de fornecedores</x:v>
      </x:c>
      <x:c r="B1" s="4" t="str">
        <x:v>Cadastro e avaliacao de fornecedores</x:v>
      </x:c>
      <x:c r="C1" s="4" t="str">
        <x:v>Cadastro e avaliacao de fornecedores</x:v>
      </x:c>
      <x:c r="D1" s="4" t="str">
        <x:v>Cadastro e avaliacao de fornecedores</x:v>
      </x:c>
      <x:c r="E1" s="4" t="str">
        <x:v>Cadastro e avaliacao de fornecedores</x:v>
      </x:c>
      <x:c r="F1" s="4" t="str">
        <x:v>Cadastro e avaliacao de fornecedores</x:v>
      </x:c>
      <x:c r="G1" s="4" t="str">
        <x:v>Cadastro e avaliacao de fornecedores</x:v>
      </x:c>
      <x:c r="H1" s="4" t="str">
        <x:v>Cadastro e avaliacao de fornecedores</x:v>
      </x:c>
    </x:row>
    <x:row r="3">
      <x:c r="A3" s="9" t="str">
        <x:v>Fornecedor</x:v>
      </x:c>
      <x:c r="B3" s="9" t="str">
        <x:v>Servico</x:v>
      </x:c>
      <x:c r="C3" s="9" t="str">
        <x:v>Contato</x:v>
      </x:c>
      <x:c r="D3" s="9" t="str">
        <x:v>Orcamento</x:v>
      </x:c>
      <x:c r="E3" s="9" t="str">
        <x:v>Prazo</x:v>
      </x:c>
      <x:c r="F3" s="9" t="str">
        <x:v>Nota</x:v>
      </x:c>
      <x:c r="G3" s="9" t="str">
        <x:v>Risco</x:v>
      </x:c>
      <x:c r="H3" s="9" t="str">
        <x:v>Observacoes</x:v>
      </x:c>
    </x:row>
    <x:row r="4">
      <x:c r="A4" t="str"/>
      <x:c r="B4" t="str">
        <x:v>Projeto</x:v>
      </x:c>
      <x:c r="C4" t="str"/>
      <x:c r="D4" s="10" t="n">
        <x:v>0</x:v>
      </x:c>
      <x:c r="E4" t="str"/>
      <x:c r="F4" t="str"/>
      <x:c r="G4" t="str">
        <x:v>Medio</x:v>
      </x:c>
      <x:c r="H4" t="str"/>
    </x:row>
    <x:row r="5">
      <x:c r="A5" t="str"/>
      <x:c r="B5" t="str">
        <x:v>Fundacao</x:v>
      </x:c>
      <x:c r="C5" t="str"/>
      <x:c r="D5" s="10" t="n">
        <x:v>0</x:v>
      </x:c>
      <x:c r="E5" t="str"/>
      <x:c r="F5" t="str"/>
      <x:c r="G5" t="str">
        <x:v>Alto</x:v>
      </x:c>
      <x:c r="H5" t="str"/>
    </x:row>
    <x:row r="6">
      <x:c r="A6" t="str"/>
      <x:c r="B6" t="str">
        <x:v>Eletrica</x:v>
      </x:c>
      <x:c r="C6" t="str"/>
      <x:c r="D6" s="10" t="n">
        <x:v>0</x:v>
      </x:c>
      <x:c r="E6" t="str"/>
      <x:c r="F6" t="str"/>
      <x:c r="G6" t="str">
        <x:v>Alto</x:v>
      </x:c>
      <x:c r="H6" t="str"/>
    </x:row>
    <x:row r="7">
      <x:c r="A7" t="str"/>
      <x:c r="B7" t="str">
        <x:v>Hidraulica</x:v>
      </x:c>
      <x:c r="C7" t="str"/>
      <x:c r="D7" s="10" t="n">
        <x:v>0</x:v>
      </x:c>
      <x:c r="E7" t="str"/>
      <x:c r="F7" t="str"/>
      <x:c r="G7" t="str">
        <x:v>Alto</x:v>
      </x:c>
      <x:c r="H7" t="str"/>
    </x:row>
    <x:row r="8">
      <x:c r="A8" t="str"/>
      <x:c r="B8" t="str">
        <x:v>Acabamento</x:v>
      </x:c>
      <x:c r="C8" t="str"/>
      <x:c r="D8" s="10" t="n">
        <x:v>0</x:v>
      </x:c>
      <x:c r="E8" t="str"/>
      <x:c r="F8" t="str"/>
      <x:c r="G8" t="str">
        <x:v>Medio</x:v>
      </x:c>
      <x:c r="H8" t="str"/>
    </x:row>
    <x:row r="9">
      <x:c r="A9" t="str"/>
      <x:c r="B9" t="str">
        <x:v>Pintura</x:v>
      </x:c>
      <x:c r="C9" t="str"/>
      <x:c r="D9" s="10" t="n">
        <x:v>0</x:v>
      </x:c>
      <x:c r="E9" t="str"/>
      <x:c r="F9" t="str"/>
      <x:c r="G9" t="str">
        <x:v>Baixo</x:v>
      </x:c>
      <x:c r="H9" t="str"/>
    </x:row>
    <x:row r="10">
      <x:c r="A10" t="str"/>
      <x:c r="B10" t="str">
        <x:v>Esquadrias</x:v>
      </x:c>
      <x:c r="C10" t="str"/>
      <x:c r="D10" s="10" t="n">
        <x:v>0</x:v>
      </x:c>
      <x:c r="E10" t="str"/>
      <x:c r="F10" t="str"/>
      <x:c r="G10" t="str">
        <x:v>Medio</x:v>
      </x:c>
      <x:c r="H10" t="str"/>
    </x:row>
  </x:sheetData>
  <x:mergeCells>
    <x:mergeCell ref="A1:H1"/>
  </x:mergeCells>
  <x:dataValidations count="1">
    <x:dataValidation type="list" sqref="G4:G100">
      <x:formula1>"Baixo,Medio,Alto"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521e236e4e44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</x:cols>
  <x:sheetData>
    <x:row r="1" ht="31.5" customHeight="1">
      <x:c r="A1" s="4" t="str">
        <x:v>Controle de pagamentos</x:v>
      </x:c>
      <x:c r="B1" s="4" t="str">
        <x:v>Controle de pagamentos</x:v>
      </x:c>
      <x:c r="C1" s="4" t="str">
        <x:v>Controle de pagamentos</x:v>
      </x:c>
      <x:c r="D1" s="4" t="str">
        <x:v>Controle de pagamentos</x:v>
      </x:c>
      <x:c r="E1" s="4" t="str">
        <x:v>Controle de pagamentos</x:v>
      </x:c>
      <x:c r="F1" s="4" t="str">
        <x:v>Controle de pagamentos</x:v>
      </x:c>
      <x:c r="G1" s="4" t="str">
        <x:v>Controle de pagamentos</x:v>
      </x:c>
      <x:c r="H1" s="4" t="str">
        <x:v>Controle de pagamentos</x:v>
      </x:c>
    </x:row>
    <x:row r="3">
      <x:c r="A3" s="9" t="str">
        <x:v>Data</x:v>
      </x:c>
      <x:c r="B3" s="9" t="str">
        <x:v>Fornecedor</x:v>
      </x:c>
      <x:c r="C3" s="9" t="str">
        <x:v>Categoria</x:v>
      </x:c>
      <x:c r="D3" s="9" t="str">
        <x:v>Descricao</x:v>
      </x:c>
      <x:c r="E3" s="9" t="str">
        <x:v>Forma</x:v>
      </x:c>
      <x:c r="F3" s="9" t="str">
        <x:v>Previsto</x:v>
      </x:c>
      <x:c r="G3" s="9" t="str">
        <x:v>Pago</x:v>
      </x:c>
      <x:c r="H3" s="9" t="str">
        <x:v>Status</x:v>
      </x:c>
    </x:row>
    <x:row r="4">
      <x:c r="A4" s="11" t="n">
        <x:v>46178</x:v>
      </x:c>
      <x:c r="B4" t="str">
        <x:v>Engenheiro/Arquiteto</x:v>
      </x:c>
      <x:c r="C4" t="str">
        <x:v>Projeto</x:v>
      </x:c>
      <x:c r="D4" t="str">
        <x:v>Entrada projeto</x:v>
      </x:c>
      <x:c r="E4" t="str">
        <x:v>Pix</x:v>
      </x:c>
      <x:c r="F4" s="10" t="n">
        <x:v>2500</x:v>
      </x:c>
      <x:c r="G4" s="10" t="n">
        <x:v>0</x:v>
      </x:c>
      <x:c r="H4" t="str">
        <x:v>Pendente</x:v>
      </x:c>
    </x:row>
    <x:row r="5">
      <x:c r="A5" s="11" t="n">
        <x:v>46193</x:v>
      </x:c>
      <x:c r="B5" t="str">
        <x:v>Topografia</x:v>
      </x:c>
      <x:c r="C5" t="str">
        <x:v>Terreno</x:v>
      </x:c>
      <x:c r="D5" t="str">
        <x:v>Levantamento inicial</x:v>
      </x:c>
      <x:c r="E5" t="str">
        <x:v>Pix</x:v>
      </x:c>
      <x:c r="F5" s="10" t="n">
        <x:v>1500</x:v>
      </x:c>
      <x:c r="G5" s="10" t="n">
        <x:v>0</x:v>
      </x:c>
      <x:c r="H5" t="str">
        <x:v>Pendente</x:v>
      </x:c>
    </x:row>
    <x:row r="6">
      <x:c r="A6" s="11" t="n">
        <x:v>46208</x:v>
      </x:c>
      <x:c r="B6" t="str">
        <x:v>Sondagem</x:v>
      </x:c>
      <x:c r="C6" t="str">
        <x:v>Fundacao</x:v>
      </x:c>
      <x:c r="D6" t="str">
        <x:v>Sondagem do solo</x:v>
      </x:c>
      <x:c r="E6" t="str">
        <x:v>Pix</x:v>
      </x:c>
      <x:c r="F6" s="10" t="n">
        <x:v>2500</x:v>
      </x:c>
      <x:c r="G6" s="10" t="n">
        <x:v>0</x:v>
      </x:c>
      <x:c r="H6" t="str">
        <x:v>Pendente</x:v>
      </x:c>
    </x:row>
    <x:row r="7">
      <x:c r="A7" s="11" t="n">
        <x:v>46223</x:v>
      </x:c>
      <x:c r="B7" t="str">
        <x:v>Empreiteiro</x:v>
      </x:c>
      <x:c r="C7" t="str">
        <x:v>Fundacao</x:v>
      </x:c>
      <x:c r="D7" t="str">
        <x:v>1a medicao</x:v>
      </x:c>
      <x:c r="E7" t="str">
        <x:v>Transferencia</x:v>
      </x:c>
      <x:c r="F7" s="10" t="n">
        <x:v>15000</x:v>
      </x:c>
      <x:c r="G7" s="10" t="n">
        <x:v>0</x:v>
      </x:c>
      <x:c r="H7" t="str">
        <x:v>Pendente</x:v>
      </x:c>
    </x:row>
    <x:row r="8">
      <x:c r="A8" s="11" t="n">
        <x:v>46249</x:v>
      </x:c>
      <x:c r="B8" t="str">
        <x:v>Material</x:v>
      </x:c>
      <x:c r="C8" t="str">
        <x:v>Estrutura</x:v>
      </x:c>
      <x:c r="D8" t="str">
        <x:v>Concreto e ferragem</x:v>
      </x:c>
      <x:c r="E8" t="str">
        <x:v>Boleto</x:v>
      </x:c>
      <x:c r="F8" s="10" t="n">
        <x:v>18000</x:v>
      </x:c>
      <x:c r="G8" s="10" t="n">
        <x:v>0</x:v>
      </x:c>
      <x:c r="H8" t="str">
        <x:v>Pendente</x:v>
      </x:c>
    </x:row>
    <x:row r="9">
      <x:c r="A9" s="11"/>
      <x:c r="B9" t="str"/>
      <x:c r="C9" t="str"/>
      <x:c r="D9" t="str"/>
      <x:c r="E9" t="str"/>
      <x:c r="F9" s="10" t="n">
        <x:v>0</x:v>
      </x:c>
      <x:c r="G9" s="10" t="n">
        <x:v>0</x:v>
      </x:c>
      <x:c r="H9" t="str">
        <x:v>Pendente</x:v>
      </x:c>
    </x:row>
    <x:row r="10">
      <x:c r="A10" s="11"/>
      <x:c r="B10" t="str"/>
      <x:c r="C10" t="str"/>
      <x:c r="D10" t="str"/>
      <x:c r="E10" t="str"/>
      <x:c r="F10" s="10" t="n">
        <x:v>0</x:v>
      </x:c>
      <x:c r="G10" s="10" t="n">
        <x:v>0</x:v>
      </x:c>
      <x:c r="H10" t="str">
        <x:v>Pendente</x:v>
      </x:c>
    </x:row>
    <x:row r="11">
      <x:c r="A11" s="11"/>
      <x:c r="B11" t="str"/>
      <x:c r="C11" t="str"/>
      <x:c r="D11" t="str"/>
      <x:c r="E11" t="str"/>
      <x:c r="F11" s="10" t="n">
        <x:v>0</x:v>
      </x:c>
      <x:c r="G11" s="10" t="n">
        <x:v>0</x:v>
      </x:c>
      <x:c r="H11" t="str">
        <x:v>Pendente</x:v>
      </x:c>
    </x:row>
    <x:row r="12">
      <x:c r="A12" s="11"/>
      <x:c r="B12" t="str"/>
      <x:c r="C12" t="str"/>
      <x:c r="D12" t="str"/>
      <x:c r="E12" t="str"/>
      <x:c r="F12" s="10" t="n">
        <x:v>0</x:v>
      </x:c>
      <x:c r="G12" s="10" t="n">
        <x:v>0</x:v>
      </x:c>
      <x:c r="H12" t="str">
        <x:v>Pendente</x:v>
      </x:c>
    </x:row>
    <x:row r="13">
      <x:c r="A13" s="11"/>
      <x:c r="B13" t="str"/>
      <x:c r="C13" t="str"/>
      <x:c r="D13" t="str"/>
      <x:c r="E13" t="str"/>
      <x:c r="F13" s="10" t="n">
        <x:v>0</x:v>
      </x:c>
      <x:c r="G13" s="10" t="n">
        <x:v>0</x:v>
      </x:c>
      <x:c r="H13" t="str">
        <x:v>Pendente</x:v>
      </x:c>
    </x:row>
  </x:sheetData>
  <x:mergeCells>
    <x:mergeCell ref="A1:H1"/>
  </x:mergeCells>
  <x:dataValidations count="1">
    <x:dataValidation type="list" sqref="H4:H200">
      <x:formula1>"Pendente,Pago,Parcial,Atrasado"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85f594745b45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130001068115234" hidden="0" customWidth="1"/>
    <x:col min="2" max="2" width="33.130001068115234" hidden="0" customWidth="1"/>
    <x:col min="3" max="3" width="33.130001068115234" hidden="0" customWidth="1"/>
    <x:col min="4" max="4" width="33.130001068115234" hidden="0" customWidth="1"/>
    <x:col min="5" max="5" width="33.130001068115234" hidden="0" customWidth="1"/>
    <x:col min="6" max="6" width="33.130001068115234" hidden="0" customWidth="1"/>
    <x:col min="7" max="7" width="33.130001068115234" hidden="0" customWidth="1"/>
    <x:col min="8" max="8" width="33.130001068115234" hidden="0" customWidth="1"/>
  </x:cols>
  <x:sheetData>
    <x:row r="1" ht="31.5" customHeight="1">
      <x:c r="A1" s="4" t="str">
        <x:v>Cronograma fisico da obra</x:v>
      </x:c>
      <x:c r="B1" s="4" t="str">
        <x:v>Cronograma fisico da obra</x:v>
      </x:c>
      <x:c r="C1" s="4" t="str">
        <x:v>Cronograma fisico da obra</x:v>
      </x:c>
      <x:c r="D1" s="4" t="str">
        <x:v>Cronograma fisico da obra</x:v>
      </x:c>
      <x:c r="E1" s="4" t="str">
        <x:v>Cronograma fisico da obra</x:v>
      </x:c>
      <x:c r="F1" s="4" t="str">
        <x:v>Cronograma fisico da obra</x:v>
      </x:c>
      <x:c r="G1" s="4" t="str">
        <x:v>Cronograma fisico da obra</x:v>
      </x:c>
      <x:c r="H1" s="4" t="str">
        <x:v>Cronograma fisico da obra</x:v>
      </x:c>
    </x:row>
    <x:row r="3">
      <x:c r="A3" s="9" t="str">
        <x:v>Etapa</x:v>
      </x:c>
      <x:c r="B3" s="9" t="str">
        <x:v>Responsavel</x:v>
      </x:c>
      <x:c r="C3" s="9" t="str">
        <x:v>Inicio previsto</x:v>
      </x:c>
      <x:c r="D3" s="9" t="str">
        <x:v>Fim previsto</x:v>
      </x:c>
      <x:c r="E3" s="9" t="str">
        <x:v>Inicio real</x:v>
      </x:c>
      <x:c r="F3" s="9" t="str">
        <x:v>Fim real</x:v>
      </x:c>
      <x:c r="G3" s="9" t="str">
        <x:v>% concluido</x:v>
      </x:c>
      <x:c r="H3" s="9" t="str">
        <x:v>Status</x:v>
      </x:c>
    </x:row>
    <x:row r="4">
      <x:c r="A4" t="str">
        <x:v>Projetos</x:v>
      </x:c>
      <x:c r="B4" t="str"/>
      <x:c r="C4" s="11" t="n">
        <x:v>46174</x:v>
      </x:c>
      <x:c r="D4" s="11" t="n">
        <x:v>46203</x:v>
      </x:c>
      <x:c r="E4" s="11"/>
      <x:c r="F4" s="11"/>
      <x:c r="G4" s="12" t="n">
        <x:v>0</x:v>
      </x:c>
      <x:c r="H4" t="str">
        <x:v>Pendente</x:v>
      </x:c>
    </x:row>
    <x:row r="5">
      <x:c r="A5" t="str">
        <x:v>Aprovacoes</x:v>
      </x:c>
      <x:c r="B5" t="str"/>
      <x:c r="C5" s="11" t="n">
        <x:v>46204</x:v>
      </x:c>
      <x:c r="D5" s="11" t="n">
        <x:v>46223</x:v>
      </x:c>
      <x:c r="E5" s="11"/>
      <x:c r="F5" s="11"/>
      <x:c r="G5" s="12" t="n">
        <x:v>0</x:v>
      </x:c>
      <x:c r="H5" t="str">
        <x:v>Pendente</x:v>
      </x:c>
    </x:row>
    <x:row r="6">
      <x:c r="A6" t="str">
        <x:v>Terreno</x:v>
      </x:c>
      <x:c r="B6" t="str"/>
      <x:c r="C6" s="11" t="n">
        <x:v>46224</x:v>
      </x:c>
      <x:c r="D6" s="11" t="n">
        <x:v>46234</x:v>
      </x:c>
      <x:c r="E6" s="11"/>
      <x:c r="F6" s="11"/>
      <x:c r="G6" s="12" t="n">
        <x:v>0</x:v>
      </x:c>
      <x:c r="H6" t="str">
        <x:v>Pendente</x:v>
      </x:c>
    </x:row>
    <x:row r="7">
      <x:c r="A7" t="str">
        <x:v>Fundacao</x:v>
      </x:c>
      <x:c r="B7" t="str"/>
      <x:c r="C7" s="11" t="n">
        <x:v>46235</x:v>
      </x:c>
      <x:c r="D7" s="11" t="n">
        <x:v>46259</x:v>
      </x:c>
      <x:c r="E7" s="11"/>
      <x:c r="F7" s="11"/>
      <x:c r="G7" s="12" t="n">
        <x:v>0</x:v>
      </x:c>
      <x:c r="H7" t="str">
        <x:v>Pendente</x:v>
      </x:c>
    </x:row>
    <x:row r="8">
      <x:c r="A8" t="str">
        <x:v>Estrutura</x:v>
      </x:c>
      <x:c r="B8" t="str"/>
      <x:c r="C8" s="11" t="n">
        <x:v>46260</x:v>
      </x:c>
      <x:c r="D8" s="11" t="n">
        <x:v>46300</x:v>
      </x:c>
      <x:c r="E8" s="11"/>
      <x:c r="F8" s="11"/>
      <x:c r="G8" s="12" t="n">
        <x:v>0</x:v>
      </x:c>
      <x:c r="H8" t="str">
        <x:v>Pendente</x:v>
      </x:c>
    </x:row>
    <x:row r="9">
      <x:c r="A9" t="str">
        <x:v>Alvenaria</x:v>
      </x:c>
      <x:c r="B9" t="str"/>
      <x:c r="C9" s="11" t="n">
        <x:v>46301</x:v>
      </x:c>
      <x:c r="D9" s="11" t="n">
        <x:v>46341</x:v>
      </x:c>
      <x:c r="E9" s="11"/>
      <x:c r="F9" s="11"/>
      <x:c r="G9" s="12" t="n">
        <x:v>0</x:v>
      </x:c>
      <x:c r="H9" t="str">
        <x:v>Pendente</x:v>
      </x:c>
    </x:row>
    <x:row r="10">
      <x:c r="A10" t="str">
        <x:v>Instalacoes</x:v>
      </x:c>
      <x:c r="B10" t="str"/>
      <x:c r="C10" s="11" t="n">
        <x:v>46342</x:v>
      </x:c>
      <x:c r="D10" s="11" t="n">
        <x:v>46376</x:v>
      </x:c>
      <x:c r="E10" s="11"/>
      <x:c r="F10" s="11"/>
      <x:c r="G10" s="12" t="n">
        <x:v>0</x:v>
      </x:c>
      <x:c r="H10" t="str">
        <x:v>Pendente</x:v>
      </x:c>
    </x:row>
    <x:row r="11">
      <x:c r="A11" t="str">
        <x:v>Cobertura</x:v>
      </x:c>
      <x:c r="B11" t="str"/>
      <x:c r="C11" s="11" t="n">
        <x:v>46392</x:v>
      </x:c>
      <x:c r="D11" s="11" t="n">
        <x:v>46412</x:v>
      </x:c>
      <x:c r="E11" s="11"/>
      <x:c r="F11" s="11"/>
      <x:c r="G11" s="12" t="n">
        <x:v>0</x:v>
      </x:c>
      <x:c r="H11" t="str">
        <x:v>Pendente</x:v>
      </x:c>
    </x:row>
    <x:row r="12">
      <x:c r="A12" t="str">
        <x:v>Acabamentos</x:v>
      </x:c>
      <x:c r="B12" t="str"/>
      <x:c r="C12" s="11" t="n">
        <x:v>46413</x:v>
      </x:c>
      <x:c r="D12" s="11" t="n">
        <x:v>46466</x:v>
      </x:c>
      <x:c r="E12" s="11"/>
      <x:c r="F12" s="11"/>
      <x:c r="G12" s="12" t="n">
        <x:v>0</x:v>
      </x:c>
      <x:c r="H12" t="str">
        <x:v>Pendente</x:v>
      </x:c>
    </x:row>
    <x:row r="13">
      <x:c r="A13" t="str">
        <x:v>Vistoria final</x:v>
      </x:c>
      <x:c r="B13" t="str"/>
      <x:c r="C13" s="11" t="n">
        <x:v>46467</x:v>
      </x:c>
      <x:c r="D13" s="11" t="n">
        <x:v>46477</x:v>
      </x:c>
      <x:c r="E13" s="11"/>
      <x:c r="F13" s="11"/>
      <x:c r="G13" s="12" t="n">
        <x:v>0</x:v>
      </x:c>
      <x:c r="H13" t="str">
        <x:v>Pendente</x:v>
      </x:c>
    </x:row>
    <x:row r="14">
      <x:c r="A14" t="str">
        <x:v>Entrega</x:v>
      </x:c>
      <x:c r="B14" t="str"/>
      <x:c r="C14" s="11" t="n">
        <x:v>46478</x:v>
      </x:c>
      <x:c r="D14" s="11" t="n">
        <x:v>46482</x:v>
      </x:c>
      <x:c r="E14" s="11"/>
      <x:c r="F14" s="11"/>
      <x:c r="G14" s="12" t="n">
        <x:v>0</x:v>
      </x:c>
      <x:c r="H14" t="str">
        <x:v>Pendente</x:v>
      </x:c>
    </x:row>
  </x:sheetData>
  <x:mergeCells>
    <x:mergeCell ref="A1:H1"/>
  </x:mergeCells>
  <x:dataValidations count="1">
    <x:dataValidation type="list" sqref="H4:H100">
      <x:formula1>"Pendente,Em andamento,Concluido,Atrasado"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091d9f995d41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5" hidden="0" customWidth="1"/>
    <x:col min="2" max="2" width="18.25" hidden="0" customWidth="1"/>
    <x:col min="3" max="3" width="18.25" hidden="0" customWidth="1"/>
    <x:col min="4" max="4" width="20" hidden="0" customWidth="1"/>
    <x:col min="5" max="5" width="18.25" hidden="0" customWidth="1"/>
    <x:col min="6" max="6" width="18.25" hidden="0" customWidth="1"/>
    <x:col min="7" max="7" width="18.25" hidden="0" customWidth="1"/>
  </x:cols>
  <x:sheetData>
    <x:row r="1" ht="31.5" customHeight="1">
      <x:c r="A1" s="4" t="str">
        <x:v>Diario de obra</x:v>
      </x:c>
      <x:c r="B1" s="4" t="str">
        <x:v>Diario de obra</x:v>
      </x:c>
      <x:c r="C1" s="4" t="str">
        <x:v>Diario de obra</x:v>
      </x:c>
      <x:c r="D1" s="4" t="str">
        <x:v>Diario de obra</x:v>
      </x:c>
      <x:c r="E1" s="4" t="str">
        <x:v>Diario de obra</x:v>
      </x:c>
      <x:c r="F1" s="4" t="str">
        <x:v>Diario de obra</x:v>
      </x:c>
      <x:c r="G1" s="4" t="str">
        <x:v>Diario de obra</x:v>
      </x:c>
    </x:row>
    <x:row r="3">
      <x:c r="A3" s="9" t="str">
        <x:v>Data</x:v>
      </x:c>
      <x:c r="B3" s="9" t="str">
        <x:v>Clima</x:v>
      </x:c>
      <x:c r="C3" s="9" t="str">
        <x:v>Equipe</x:v>
      </x:c>
      <x:c r="D3" s="9" t="str">
        <x:v>Atividades executadas</x:v>
      </x:c>
      <x:c r="E3" s="9" t="str">
        <x:v>Ocorrencias</x:v>
      </x:c>
      <x:c r="F3" s="9" t="str">
        <x:v>Fotos/links</x:v>
      </x:c>
      <x:c r="G3" s="9" t="str">
        <x:v>Proxima acao</x:v>
      </x:c>
    </x:row>
    <x:row r="4">
      <x:c r="A4" s="11"/>
      <x:c r="B4" t="str"/>
      <x:c r="C4" t="str"/>
      <x:c r="D4" t="str"/>
      <x:c r="E4" t="str"/>
      <x:c r="F4" t="str"/>
      <x:c r="G4" t="str"/>
    </x:row>
    <x:row r="5">
      <x:c r="A5" s="11"/>
      <x:c r="B5" t="str"/>
      <x:c r="C5" t="str"/>
      <x:c r="D5" t="str"/>
      <x:c r="E5" t="str"/>
      <x:c r="F5" t="str"/>
      <x:c r="G5" t="str"/>
    </x:row>
    <x:row r="6">
      <x:c r="A6" s="11"/>
      <x:c r="B6" t="str"/>
      <x:c r="C6" t="str"/>
      <x:c r="D6" t="str"/>
      <x:c r="E6" t="str"/>
      <x:c r="F6" t="str"/>
      <x:c r="G6" t="str"/>
    </x:row>
    <x:row r="7">
      <x:c r="A7" s="11"/>
      <x:c r="B7" t="str"/>
      <x:c r="C7" t="str"/>
      <x:c r="D7" t="str"/>
      <x:c r="E7" t="str"/>
      <x:c r="F7" t="str"/>
      <x:c r="G7" t="str"/>
    </x:row>
    <x:row r="8">
      <x:c r="A8" s="11"/>
      <x:c r="B8" t="str"/>
      <x:c r="C8" t="str"/>
      <x:c r="D8" t="str"/>
      <x:c r="E8" t="str"/>
      <x:c r="F8" t="str"/>
      <x:c r="G8" t="str"/>
    </x:row>
    <x:row r="9">
      <x:c r="A9" s="11"/>
      <x:c r="B9" t="str"/>
      <x:c r="C9" t="str"/>
      <x:c r="D9" t="str"/>
      <x:c r="E9" t="str"/>
      <x:c r="F9" t="str"/>
      <x:c r="G9" t="str"/>
    </x:row>
    <x:row r="10">
      <x:c r="A10" s="11"/>
      <x:c r="B10" t="str"/>
      <x:c r="C10" t="str"/>
      <x:c r="D10" t="str"/>
      <x:c r="E10" t="str"/>
      <x:c r="F10" t="str"/>
      <x:c r="G10" t="str"/>
    </x:row>
    <x:row r="11">
      <x:c r="A11" s="11"/>
      <x:c r="B11" t="str"/>
      <x:c r="C11" t="str"/>
      <x:c r="D11" t="str"/>
      <x:c r="E11" t="str"/>
      <x:c r="F11" t="str"/>
      <x:c r="G11" t="str"/>
    </x:row>
    <x:row r="12">
      <x:c r="A12" s="11"/>
      <x:c r="B12" t="str"/>
      <x:c r="C12" t="str"/>
      <x:c r="D12" t="str"/>
      <x:c r="E12" t="str"/>
      <x:c r="F12" t="str"/>
      <x:c r="G12" t="str"/>
    </x:row>
    <x:row r="13">
      <x:c r="A13" s="11"/>
      <x:c r="B13" t="str"/>
      <x:c r="C13" t="str"/>
      <x:c r="D13" t="str"/>
      <x:c r="E13" t="str"/>
      <x:c r="F13" t="str"/>
      <x:c r="G13" t="str"/>
    </x:row>
    <x:row r="14">
      <x:c r="A14" s="11"/>
    </x:row>
    <x:row r="15">
      <x:c r="A15" s="11"/>
    </x:row>
    <x:row r="16">
      <x:c r="A16" s="11"/>
    </x:row>
    <x:row r="17">
      <x:c r="A17" s="11"/>
    </x:row>
    <x:row r="18">
      <x:c r="A18" s="11"/>
    </x:row>
    <x:row r="19">
      <x:c r="A19" s="11"/>
    </x:row>
    <x:row r="20">
      <x:c r="A20" s="11"/>
    </x:row>
    <x:row r="21">
      <x:c r="A21" s="11"/>
    </x:row>
    <x:row r="22">
      <x:c r="A22" s="11"/>
    </x:row>
    <x:row r="23">
      <x:c r="A23" s="11"/>
    </x:row>
    <x:row r="24">
      <x:c r="A24" s="11"/>
    </x:row>
    <x:row r="25">
      <x:c r="A25" s="11"/>
    </x:row>
    <x:row r="26">
      <x:c r="A26" s="11"/>
    </x:row>
    <x:row r="27">
      <x:c r="A27" s="11"/>
    </x:row>
    <x:row r="28">
      <x:c r="A28" s="11"/>
    </x:row>
    <x:row r="29">
      <x:c r="A29" s="11"/>
    </x:row>
    <x:row r="30">
      <x:c r="A30" s="11"/>
    </x:row>
    <x:row r="31">
      <x:c r="A31" s="11"/>
    </x:row>
    <x:row r="32">
      <x:c r="A32" s="11"/>
    </x:row>
    <x:row r="33">
      <x:c r="A33" s="11"/>
    </x:row>
    <x:row r="34">
      <x:c r="A34" s="11"/>
    </x:row>
    <x:row r="35">
      <x:c r="A35" s="11"/>
    </x:row>
    <x:row r="36">
      <x:c r="A36" s="11"/>
    </x:row>
    <x:row r="37">
      <x:c r="A37" s="11"/>
    </x:row>
    <x:row r="38">
      <x:c r="A38" s="11"/>
    </x:row>
    <x:row r="39">
      <x:c r="A39" s="11"/>
    </x:row>
    <x:row r="40">
      <x:c r="A40" s="11"/>
    </x:row>
    <x:row r="41">
      <x:c r="A41" s="11"/>
    </x:row>
    <x:row r="42">
      <x:c r="A42" s="11"/>
    </x:row>
    <x:row r="43">
      <x:c r="A43" s="11"/>
    </x:row>
    <x:row r="44">
      <x:c r="A44" s="11"/>
    </x:row>
    <x:row r="45">
      <x:c r="A45" s="11"/>
    </x:row>
    <x:row r="46">
      <x:c r="A46" s="11"/>
    </x:row>
    <x:row r="47">
      <x:c r="A47" s="11"/>
    </x:row>
    <x:row r="48">
      <x:c r="A48" s="11"/>
    </x:row>
    <x:row r="49">
      <x:c r="A49" s="11"/>
    </x:row>
    <x:row r="50">
      <x:c r="A50" s="11"/>
    </x:row>
    <x:row r="51">
      <x:c r="A51" s="11"/>
    </x:row>
    <x:row r="52">
      <x:c r="A52" s="11"/>
    </x:row>
    <x:row r="53">
      <x:c r="A53" s="11"/>
    </x:row>
    <x:row r="54">
      <x:c r="A54" s="11"/>
    </x:row>
    <x:row r="55">
      <x:c r="A55" s="11"/>
    </x:row>
    <x:row r="56">
      <x:c r="A56" s="11"/>
    </x:row>
    <x:row r="57">
      <x:c r="A57" s="11"/>
    </x:row>
    <x:row r="58">
      <x:c r="A58" s="11"/>
    </x:row>
    <x:row r="59">
      <x:c r="A59" s="11"/>
    </x:row>
    <x:row r="60">
      <x:c r="A60" s="11"/>
    </x:row>
    <x:row r="61">
      <x:c r="A61" s="11"/>
    </x:row>
    <x:row r="62">
      <x:c r="A62" s="11"/>
    </x:row>
    <x:row r="63">
      <x:c r="A63" s="11"/>
    </x:row>
    <x:row r="64">
      <x:c r="A64" s="11"/>
    </x:row>
    <x:row r="65">
      <x:c r="A65" s="11"/>
    </x:row>
    <x:row r="66">
      <x:c r="A66" s="11"/>
    </x:row>
    <x:row r="67">
      <x:c r="A67" s="11"/>
    </x:row>
    <x:row r="68">
      <x:c r="A68" s="11"/>
    </x:row>
    <x:row r="69">
      <x:c r="A69" s="11"/>
    </x:row>
    <x:row r="70">
      <x:c r="A70" s="11"/>
    </x:row>
    <x:row r="71">
      <x:c r="A71" s="11"/>
    </x:row>
    <x:row r="72">
      <x:c r="A72" s="11"/>
    </x:row>
    <x:row r="73">
      <x:c r="A73" s="11"/>
    </x:row>
    <x:row r="74">
      <x:c r="A74" s="11"/>
    </x:row>
    <x:row r="75">
      <x:c r="A75" s="11"/>
    </x:row>
    <x:row r="76">
      <x:c r="A76" s="11"/>
    </x:row>
    <x:row r="77">
      <x:c r="A77" s="11"/>
    </x:row>
    <x:row r="78">
      <x:c r="A78" s="11"/>
    </x:row>
    <x:row r="79">
      <x:c r="A79" s="11"/>
    </x:row>
    <x:row r="80">
      <x:c r="A80" s="11"/>
    </x:row>
    <x:row r="81">
      <x:c r="A81" s="11"/>
    </x:row>
    <x:row r="82">
      <x:c r="A82" s="11"/>
    </x:row>
    <x:row r="83">
      <x:c r="A83" s="11"/>
    </x:row>
    <x:row r="84">
      <x:c r="A84" s="11"/>
    </x:row>
    <x:row r="85">
      <x:c r="A85" s="11"/>
    </x:row>
    <x:row r="86">
      <x:c r="A86" s="11"/>
    </x:row>
    <x:row r="87">
      <x:c r="A87" s="11"/>
    </x:row>
    <x:row r="88">
      <x:c r="A88" s="11"/>
    </x:row>
    <x:row r="89">
      <x:c r="A89" s="11"/>
    </x:row>
    <x:row r="90">
      <x:c r="A90" s="11"/>
    </x:row>
    <x:row r="91">
      <x:c r="A91" s="11"/>
    </x:row>
    <x:row r="92">
      <x:c r="A92" s="11"/>
    </x:row>
    <x:row r="93">
      <x:c r="A93" s="11"/>
    </x:row>
    <x:row r="94">
      <x:c r="A94" s="11"/>
    </x:row>
    <x:row r="95">
      <x:c r="A95" s="11"/>
    </x:row>
    <x:row r="96">
      <x:c r="A96" s="11"/>
    </x:row>
    <x:row r="97">
      <x:c r="A97" s="11"/>
    </x:row>
    <x:row r="98">
      <x:c r="A98" s="11"/>
    </x:row>
    <x:row r="99">
      <x:c r="A99" s="11"/>
    </x:row>
    <x:row r="100">
      <x:c r="A100" s="1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f2c7cbf2d3641b9"/>
  </x:tableParts>
</x:worksheet>
</file>
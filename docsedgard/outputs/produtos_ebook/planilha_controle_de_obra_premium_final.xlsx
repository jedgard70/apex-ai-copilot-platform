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 Jedgard\outputs\produtos_ebook\"/>
    </mc:Choice>
  </mc:AlternateContent>
  <xr:revisionPtr revIDLastSave="0" documentId="8_{1B8A6B23-F908-4B08-BDD8-533FC47F66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mo" sheetId="1" r:id="rId1"/>
    <sheet name="Orcamento" sheetId="2" r:id="rId2"/>
    <sheet name="Fornecedores" sheetId="3" r:id="rId3"/>
    <sheet name="Pagamentos" sheetId="4" r:id="rId4"/>
    <sheet name="Cronograma" sheetId="5" r:id="rId5"/>
    <sheet name="Diario de Obr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I18" i="2" s="1"/>
  <c r="G17" i="2"/>
  <c r="I17" i="2" s="1"/>
  <c r="G16" i="2"/>
  <c r="I16" i="2" s="1"/>
  <c r="I15" i="2"/>
  <c r="G15" i="2"/>
  <c r="G14" i="2"/>
  <c r="I14" i="2" s="1"/>
  <c r="G13" i="2"/>
  <c r="I13" i="2" s="1"/>
  <c r="G12" i="2"/>
  <c r="I12" i="2" s="1"/>
  <c r="G11" i="2"/>
  <c r="I11" i="2" s="1"/>
  <c r="G10" i="2"/>
  <c r="I10" i="2" s="1"/>
  <c r="I9" i="2"/>
  <c r="G9" i="2"/>
  <c r="G8" i="2"/>
  <c r="I8" i="2" s="1"/>
  <c r="G7" i="2"/>
  <c r="I7" i="2" s="1"/>
  <c r="G6" i="2"/>
  <c r="I6" i="2" s="1"/>
  <c r="G5" i="2"/>
  <c r="I5" i="2" s="1"/>
  <c r="G4" i="2"/>
  <c r="I4" i="2" s="1"/>
  <c r="H6" i="1"/>
  <c r="E6" i="1"/>
  <c r="B6" i="1"/>
  <c r="E5" i="1"/>
  <c r="C17" i="1" s="1"/>
  <c r="B5" i="1"/>
  <c r="H5" i="1" s="1"/>
  <c r="E4" i="1"/>
  <c r="C16" i="1" s="1"/>
  <c r="B4" i="1"/>
  <c r="H4" i="1" s="1"/>
  <c r="B16" i="1" l="1"/>
  <c r="B17" i="1"/>
</calcChain>
</file>

<file path=xl/sharedStrings.xml><?xml version="1.0" encoding="utf-8"?>
<sst xmlns="http://schemas.openxmlformats.org/spreadsheetml/2006/main" count="265" uniqueCount="118">
  <si>
    <t>PLANILHA CONTROLE DE OBRA PREMIUM</t>
  </si>
  <si>
    <t>Seu Imovel Sem Arrependimento | J. Edgard Engenharia &amp; Gestao</t>
  </si>
  <si>
    <t>Indicador</t>
  </si>
  <si>
    <t>Valor</t>
  </si>
  <si>
    <t>Orcamento previsto</t>
  </si>
  <si>
    <t>Total realizado</t>
  </si>
  <si>
    <t>Saldo previsto</t>
  </si>
  <si>
    <t>Pagamentos previstos</t>
  </si>
  <si>
    <t>Pagamentos feitos</t>
  </si>
  <si>
    <t>Aberto a pagar</t>
  </si>
  <si>
    <t>Progresso medio</t>
  </si>
  <si>
    <t>Etapas atrasadas</t>
  </si>
  <si>
    <t>Reserva tecnica</t>
  </si>
  <si>
    <t>Instrucoes</t>
  </si>
  <si>
    <t>Edite as abas Orcamento, Pagamentos e Cronograma.</t>
  </si>
  <si>
    <t>Use a coluna Realizado para acompanhar gasto real.</t>
  </si>
  <si>
    <t>Registre fornecedores antes de fechar contrato.</t>
  </si>
  <si>
    <t>Atualize o Diario de Obra toda semana.</t>
  </si>
  <si>
    <t>Leve divergencias para o engenheiro responsavel.</t>
  </si>
  <si>
    <t>Tipo</t>
  </si>
  <si>
    <t>Previsto</t>
  </si>
  <si>
    <t>Realizado</t>
  </si>
  <si>
    <t>Obra</t>
  </si>
  <si>
    <t>Pagamentos</t>
  </si>
  <si>
    <t>Planilha Controle de Obra - Orcamento</t>
  </si>
  <si>
    <t>Categoria</t>
  </si>
  <si>
    <t>Etapa</t>
  </si>
  <si>
    <t>Item</t>
  </si>
  <si>
    <t>Unidade</t>
  </si>
  <si>
    <t>Qtd</t>
  </si>
  <si>
    <t>Valor unitario</t>
  </si>
  <si>
    <t>Diferenca</t>
  </si>
  <si>
    <t>Status</t>
  </si>
  <si>
    <t>Projeto</t>
  </si>
  <si>
    <t>Planejamento</t>
  </si>
  <si>
    <t>Projeto arquitetonico</t>
  </si>
  <si>
    <t>un</t>
  </si>
  <si>
    <t>Pendente</t>
  </si>
  <si>
    <t>Projeto estrutural</t>
  </si>
  <si>
    <t>Terreno</t>
  </si>
  <si>
    <t>Preparacao</t>
  </si>
  <si>
    <t>Limpeza do terreno</t>
  </si>
  <si>
    <t>serv</t>
  </si>
  <si>
    <t>Fundacao</t>
  </si>
  <si>
    <t>Estrutura</t>
  </si>
  <si>
    <t>Sondagem do solo</t>
  </si>
  <si>
    <t>Concreto e ferragem</t>
  </si>
  <si>
    <t>Alvenaria</t>
  </si>
  <si>
    <t>Vedacao</t>
  </si>
  <si>
    <t>Blocos e argamassa</t>
  </si>
  <si>
    <t>Instalacoes</t>
  </si>
  <si>
    <t>Hidraulica</t>
  </si>
  <si>
    <t>Material hidraulico</t>
  </si>
  <si>
    <t>Eletrica</t>
  </si>
  <si>
    <t>Material eletrico</t>
  </si>
  <si>
    <t>Cobertura</t>
  </si>
  <si>
    <t>Telhado</t>
  </si>
  <si>
    <t>Estrutura e telhas</t>
  </si>
  <si>
    <t>Acabamento</t>
  </si>
  <si>
    <t>Piso</t>
  </si>
  <si>
    <t>Pisos e revestimentos</t>
  </si>
  <si>
    <t>m2</t>
  </si>
  <si>
    <t>Pintura</t>
  </si>
  <si>
    <t>Massa e pintura</t>
  </si>
  <si>
    <t>Esquadrias</t>
  </si>
  <si>
    <t>Fechamento</t>
  </si>
  <si>
    <t>Portas e janelas</t>
  </si>
  <si>
    <t>Reserva</t>
  </si>
  <si>
    <t>Risco</t>
  </si>
  <si>
    <t>Outros</t>
  </si>
  <si>
    <t>Geral</t>
  </si>
  <si>
    <t>Outros custos</t>
  </si>
  <si>
    <t>Cadastro e avaliacao de fornecedores</t>
  </si>
  <si>
    <t>Fornecedor</t>
  </si>
  <si>
    <t>Servico</t>
  </si>
  <si>
    <t>Contato</t>
  </si>
  <si>
    <t>Orcamento</t>
  </si>
  <si>
    <t>Prazo</t>
  </si>
  <si>
    <t>Nota</t>
  </si>
  <si>
    <t>Observacoes</t>
  </si>
  <si>
    <t>Medio</t>
  </si>
  <si>
    <t>Alto</t>
  </si>
  <si>
    <t>Baixo</t>
  </si>
  <si>
    <t>Controle de pagamentos</t>
  </si>
  <si>
    <t>Data</t>
  </si>
  <si>
    <t>Descricao</t>
  </si>
  <si>
    <t>Forma</t>
  </si>
  <si>
    <t>Pago</t>
  </si>
  <si>
    <t>Engenheiro/Arquiteto</t>
  </si>
  <si>
    <t>Entrada projeto</t>
  </si>
  <si>
    <t>Pix</t>
  </si>
  <si>
    <t>Topografia</t>
  </si>
  <si>
    <t>Levantamento inicial</t>
  </si>
  <si>
    <t>Sondagem</t>
  </si>
  <si>
    <t>Empreiteiro</t>
  </si>
  <si>
    <t>1a medicao</t>
  </si>
  <si>
    <t>Transferencia</t>
  </si>
  <si>
    <t>Material</t>
  </si>
  <si>
    <t>Boleto</t>
  </si>
  <si>
    <t>Cronograma fisico da obra</t>
  </si>
  <si>
    <t>Responsavel</t>
  </si>
  <si>
    <t>Inicio previsto</t>
  </si>
  <si>
    <t>Fim previsto</t>
  </si>
  <si>
    <t>Inicio real</t>
  </si>
  <si>
    <t>Fim real</t>
  </si>
  <si>
    <t>% concluido</t>
  </si>
  <si>
    <t>Projetos</t>
  </si>
  <si>
    <t>Aprovacoes</t>
  </si>
  <si>
    <t>Acabamentos</t>
  </si>
  <si>
    <t>Vistoria final</t>
  </si>
  <si>
    <t>Entrega</t>
  </si>
  <si>
    <t>Diario de obra</t>
  </si>
  <si>
    <t>Clima</t>
  </si>
  <si>
    <t>Equipe</t>
  </si>
  <si>
    <t>Atividades executadas</t>
  </si>
  <si>
    <t>Ocorrencias</t>
  </si>
  <si>
    <t>Fotos/links</t>
  </si>
  <si>
    <t>Proxima 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</si>
</sst>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6">
    <font>
      <sz val="11"/>
      <name val="Carlito"/>
    </font>
    <font>
      <b/>
      <sz val="18"/>
      <color rgb="FFC8A84B"/>
      <name val="Carlito"/>
    </font>
    <font>
      <b/>
      <sz val="11"/>
      <color rgb="FFFFFFFF"/>
      <name val="Carlito"/>
    </font>
    <font>
      <sz val="11"/>
      <color rgb="FFFFFFFF"/>
      <name val="Carlito"/>
    </font>
    <font>
      <b/>
      <sz val="16"/>
      <color rgb="FFC8A84B"/>
      <name val="Carlito"/>
    </font>
    <font>
      <b/>
      <sz val="1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6090F"/>
      </patternFill>
    </fill>
    <fill>
      <patternFill patternType="solid">
        <fgColor rgb="FF0C1322"/>
      </patternFill>
    </fill>
    <fill>
      <patternFill patternType="solid">
        <fgColor rgb="FF06090F"/>
      </patternFill>
    </fill>
    <fill>
      <patternFill patternType="solid">
        <fgColor rgb="FF0C13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3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5875" cy="514350"/>
    <xdr:pic>
      <xdr:nvPicPr>
        <xdr:cNvPr id="2" name="dd2051a7-5da8-4f42-bdde-37b5f56c6af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Orcamento" displayName="TabelaOrcamento" ref="A3:J18">
  <tableColumns count="10">
    <tableColumn id="1" xr3:uid="{00000000-0010-0000-0000-000001000000}" name="Categoria"/>
    <tableColumn id="2" xr3:uid="{00000000-0010-0000-0000-000002000000}" name="Etapa"/>
    <tableColumn id="3" xr3:uid="{00000000-0010-0000-0000-000003000000}" name="Item"/>
    <tableColumn id="4" xr3:uid="{00000000-0010-0000-0000-000004000000}" name="Unidade"/>
    <tableColumn id="5" xr3:uid="{00000000-0010-0000-0000-000005000000}" name="Qtd"/>
    <tableColumn id="6" xr3:uid="{00000000-0010-0000-0000-000006000000}" name="Valor unitario"/>
    <tableColumn id="7" xr3:uid="{00000000-0010-0000-0000-000007000000}" name="Previsto"/>
    <tableColumn id="8" xr3:uid="{00000000-0010-0000-0000-000008000000}" name="Realizado"/>
    <tableColumn id="9" xr3:uid="{00000000-0010-0000-0000-000009000000}" name="Diferenca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Fornecedores" displayName="TabelaFornecedores" ref="A3:H10">
  <tableColumns count="8">
    <tableColumn id="1" xr3:uid="{00000000-0010-0000-0100-000001000000}" name="Fornecedor"/>
    <tableColumn id="2" xr3:uid="{00000000-0010-0000-0100-000002000000}" name="Servico"/>
    <tableColumn id="3" xr3:uid="{00000000-0010-0000-0100-000003000000}" name="Contato"/>
    <tableColumn id="4" xr3:uid="{00000000-0010-0000-0100-000004000000}" name="Orcamento"/>
    <tableColumn id="5" xr3:uid="{00000000-0010-0000-0100-000005000000}" name="Prazo"/>
    <tableColumn id="6" xr3:uid="{00000000-0010-0000-0100-000006000000}" name="Nota"/>
    <tableColumn id="7" xr3:uid="{00000000-0010-0000-0100-000007000000}" name="Risco"/>
    <tableColumn id="8" xr3:uid="{00000000-0010-0000-0100-000008000000}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Pagamentos" displayName="TabelaPagamentos" ref="A3:H13">
  <tableColumns count="8">
    <tableColumn id="1" xr3:uid="{00000000-0010-0000-0200-000001000000}" name="Data"/>
    <tableColumn id="2" xr3:uid="{00000000-0010-0000-0200-000002000000}" name="Fornecedor"/>
    <tableColumn id="3" xr3:uid="{00000000-0010-0000-0200-000003000000}" name="Categoria"/>
    <tableColumn id="4" xr3:uid="{00000000-0010-0000-0200-000004000000}" name="Descricao"/>
    <tableColumn id="5" xr3:uid="{00000000-0010-0000-0200-000005000000}" name="Forma"/>
    <tableColumn id="6" xr3:uid="{00000000-0010-0000-0200-000006000000}" name="Previsto"/>
    <tableColumn id="7" xr3:uid="{00000000-0010-0000-0200-000007000000}" name="Pago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Cronograma" displayName="TabelaCronograma" ref="A3:H14">
  <tableColumns count="8">
    <tableColumn id="1" xr3:uid="{00000000-0010-0000-0300-000001000000}" name="Etapa"/>
    <tableColumn id="2" xr3:uid="{00000000-0010-0000-0300-000002000000}" name="Responsavel"/>
    <tableColumn id="3" xr3:uid="{00000000-0010-0000-0300-000003000000}" name="Inicio previsto"/>
    <tableColumn id="4" xr3:uid="{00000000-0010-0000-0300-000004000000}" name="Fim previsto"/>
    <tableColumn id="5" xr3:uid="{00000000-0010-0000-0300-000005000000}" name="Inicio real"/>
    <tableColumn id="6" xr3:uid="{00000000-0010-0000-0300-000006000000}" name="Fim real"/>
    <tableColumn id="7" xr3:uid="{00000000-0010-0000-0300-000007000000}" name="% concluido"/>
    <tableColumn id="8" xr3:uid="{00000000-0010-0000-0300-000008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Diario" displayName="TabelaDiario" ref="A3:G13">
  <tableColumns count="7">
    <tableColumn id="1" xr3:uid="{00000000-0010-0000-0400-000001000000}" name="Data"/>
    <tableColumn id="2" xr3:uid="{00000000-0010-0000-0400-000002000000}" name="Clima"/>
    <tableColumn id="3" xr3:uid="{00000000-0010-0000-0400-000003000000}" name="Equipe"/>
    <tableColumn id="4" xr3:uid="{00000000-0010-0000-0400-000004000000}" name="Atividades executadas"/>
    <tableColumn id="5" xr3:uid="{00000000-0010-0000-0400-000005000000}" name="Ocorrencias"/>
    <tableColumn id="6" xr3:uid="{00000000-0010-0000-0400-000006000000}" name="Fotos/links"/>
    <tableColumn id="7" xr3:uid="{00000000-0010-0000-0400-000007000000}" name="Proxima 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selection activeCell="E17" sqref="E17"/>
    </sheetView>
  </sheetViews>
  <sheetFormatPr defaultRowHeight="14.25"/>
  <cols>
    <col min="1" max="1" width="19.375" bestFit="1" customWidth="1"/>
    <col min="2" max="2" width="40.25" customWidth="1"/>
    <col min="3" max="3" width="9.625" bestFit="1" customWidth="1"/>
    <col min="4" max="4" width="16.25" bestFit="1" customWidth="1"/>
    <col min="5" max="5" width="7.25" bestFit="1" customWidth="1"/>
    <col min="6" max="6" width="33.375" customWidth="1"/>
    <col min="7" max="7" width="14.25" bestFit="1" customWidth="1"/>
    <col min="8" max="8" width="12.75" bestFit="1" customWidth="1"/>
  </cols>
  <sheetData>
    <row r="1" spans="1:8" ht="25.5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</row>
    <row r="2" spans="1:8" ht="25.5" customHeight="1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</row>
    <row r="3" spans="1:8" ht="15">
      <c r="A3" s="1" t="s">
        <v>2</v>
      </c>
      <c r="B3" s="1" t="s">
        <v>3</v>
      </c>
      <c r="C3" s="1"/>
      <c r="D3" s="1" t="s">
        <v>2</v>
      </c>
      <c r="E3" s="1" t="s">
        <v>3</v>
      </c>
      <c r="F3" s="1"/>
      <c r="G3" s="1" t="s">
        <v>2</v>
      </c>
      <c r="H3" s="1" t="s">
        <v>3</v>
      </c>
    </row>
    <row r="4" spans="1:8">
      <c r="A4" t="s">
        <v>4</v>
      </c>
      <c r="B4" s="2">
        <f>SUM(Orcamento!G4:G18)</f>
        <v>223000</v>
      </c>
      <c r="C4" s="2"/>
      <c r="D4" s="2" t="s">
        <v>5</v>
      </c>
      <c r="E4" s="2">
        <f>SUM(Orcamento!H4:H18)</f>
        <v>0</v>
      </c>
      <c r="F4" s="2"/>
      <c r="G4" s="2" t="s">
        <v>6</v>
      </c>
      <c r="H4" s="2">
        <f>B4-E4</f>
        <v>223000</v>
      </c>
    </row>
    <row r="5" spans="1:8">
      <c r="A5" t="s">
        <v>7</v>
      </c>
      <c r="B5" s="2">
        <f>SUM(Pagamentos!F4:F13)</f>
        <v>39500</v>
      </c>
      <c r="C5" s="2"/>
      <c r="D5" s="2" t="s">
        <v>8</v>
      </c>
      <c r="E5" s="2">
        <f>SUM(Pagamentos!G4:G13)</f>
        <v>0</v>
      </c>
      <c r="F5" s="2"/>
      <c r="G5" s="2" t="s">
        <v>9</v>
      </c>
      <c r="H5" s="2">
        <f>B5-E5</f>
        <v>39500</v>
      </c>
    </row>
    <row r="6" spans="1:8">
      <c r="A6" t="s">
        <v>10</v>
      </c>
      <c r="B6" s="4">
        <f>AVERAGE(Cronograma!G4:G14)</f>
        <v>0</v>
      </c>
      <c r="D6" t="s">
        <v>11</v>
      </c>
      <c r="E6">
        <f>COUNTIF(Cronograma!H4:H14,"Atrasado")</f>
        <v>0</v>
      </c>
      <c r="G6" t="s">
        <v>12</v>
      </c>
      <c r="H6" s="2">
        <f>SUMIF(Orcamento!A4:A18,"Reserva",Orcamento!G4:G18)</f>
        <v>15000</v>
      </c>
    </row>
    <row r="8" spans="1:8" ht="28.5">
      <c r="A8" s="5" t="s">
        <v>13</v>
      </c>
      <c r="B8" s="5" t="s">
        <v>14</v>
      </c>
    </row>
    <row r="9" spans="1:8" ht="28.5">
      <c r="A9" s="5"/>
      <c r="B9" s="5" t="s">
        <v>15</v>
      </c>
    </row>
    <row r="10" spans="1:8" ht="28.5">
      <c r="A10" s="5"/>
      <c r="B10" s="5" t="s">
        <v>16</v>
      </c>
    </row>
    <row r="11" spans="1:8">
      <c r="A11" s="5"/>
      <c r="B11" s="5" t="s">
        <v>17</v>
      </c>
    </row>
    <row r="12" spans="1:8" ht="28.5">
      <c r="A12" s="5"/>
      <c r="B12" s="5" t="s">
        <v>18</v>
      </c>
    </row>
    <row r="15" spans="1:8" ht="15">
      <c r="A15" s="1" t="s">
        <v>19</v>
      </c>
      <c r="B15" s="1" t="s">
        <v>20</v>
      </c>
      <c r="C15" s="1" t="s">
        <v>21</v>
      </c>
    </row>
    <row r="16" spans="1:8">
      <c r="A16" t="s">
        <v>22</v>
      </c>
      <c r="B16" s="2">
        <f>B4</f>
        <v>223000</v>
      </c>
      <c r="C16" s="2">
        <f>E4</f>
        <v>0</v>
      </c>
    </row>
    <row r="17" spans="1:3">
      <c r="A17" t="s">
        <v>23</v>
      </c>
      <c r="B17" s="2">
        <f>B5</f>
        <v>39500</v>
      </c>
      <c r="C17" s="2">
        <f>E5</f>
        <v>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workbookViewId="0">
      <selection activeCell="I23" sqref="I23"/>
    </sheetView>
  </sheetViews>
  <sheetFormatPr defaultRowHeight="14.25"/>
  <cols>
    <col min="1" max="1" width="11.125" bestFit="1" customWidth="1"/>
    <col min="2" max="2" width="12" bestFit="1" customWidth="1"/>
    <col min="3" max="3" width="19.25" bestFit="1" customWidth="1"/>
    <col min="4" max="4" width="8.25" bestFit="1" customWidth="1"/>
    <col min="5" max="5" width="4.125" bestFit="1" customWidth="1"/>
    <col min="6" max="6" width="12.625" bestFit="1" customWidth="1"/>
    <col min="7" max="7" width="13.875" customWidth="1"/>
    <col min="8" max="8" width="9.625" bestFit="1" customWidth="1"/>
    <col min="9" max="9" width="12.375" bestFit="1" customWidth="1"/>
    <col min="10" max="10" width="11.375" customWidth="1"/>
  </cols>
  <sheetData>
    <row r="1" spans="1:10" ht="31.5" customHeight="1">
      <c r="A1" s="8" t="s">
        <v>24</v>
      </c>
      <c r="B1" s="8" t="s">
        <v>24</v>
      </c>
      <c r="C1" s="8" t="s">
        <v>24</v>
      </c>
      <c r="D1" s="8" t="s">
        <v>24</v>
      </c>
      <c r="E1" s="8" t="s">
        <v>24</v>
      </c>
      <c r="F1" s="8" t="s">
        <v>24</v>
      </c>
      <c r="G1" s="8" t="s">
        <v>24</v>
      </c>
      <c r="H1" s="8" t="s">
        <v>24</v>
      </c>
      <c r="I1" s="9" t="s">
        <v>24</v>
      </c>
      <c r="J1" s="9" t="s">
        <v>24</v>
      </c>
    </row>
    <row r="3" spans="1:10" ht="1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20</v>
      </c>
      <c r="H3" s="1" t="s">
        <v>21</v>
      </c>
      <c r="I3" s="1" t="s">
        <v>31</v>
      </c>
      <c r="J3" s="1" t="s">
        <v>32</v>
      </c>
    </row>
    <row r="4" spans="1:10">
      <c r="A4" t="s">
        <v>33</v>
      </c>
      <c r="B4" t="s">
        <v>34</v>
      </c>
      <c r="C4" t="s">
        <v>35</v>
      </c>
      <c r="D4" t="s">
        <v>36</v>
      </c>
      <c r="E4">
        <v>1</v>
      </c>
      <c r="F4" s="2">
        <v>4500</v>
      </c>
      <c r="G4" s="2">
        <f t="shared" ref="G4:G18" si="0">E4*F4</f>
        <v>4500</v>
      </c>
      <c r="H4" s="2">
        <v>0</v>
      </c>
      <c r="I4" s="2">
        <f t="shared" ref="I4:I18" si="1">H4-G4</f>
        <v>-4500</v>
      </c>
      <c r="J4" t="s">
        <v>37</v>
      </c>
    </row>
    <row r="5" spans="1:10">
      <c r="A5" t="s">
        <v>33</v>
      </c>
      <c r="B5" t="s">
        <v>34</v>
      </c>
      <c r="C5" t="s">
        <v>38</v>
      </c>
      <c r="D5" t="s">
        <v>36</v>
      </c>
      <c r="E5">
        <v>1</v>
      </c>
      <c r="F5" s="2">
        <v>3500</v>
      </c>
      <c r="G5" s="2">
        <f t="shared" si="0"/>
        <v>3500</v>
      </c>
      <c r="H5" s="2">
        <v>0</v>
      </c>
      <c r="I5" s="2">
        <f t="shared" si="1"/>
        <v>-3500</v>
      </c>
      <c r="J5" t="s">
        <v>37</v>
      </c>
    </row>
    <row r="6" spans="1:10">
      <c r="A6" t="s">
        <v>39</v>
      </c>
      <c r="B6" t="s">
        <v>40</v>
      </c>
      <c r="C6" t="s">
        <v>41</v>
      </c>
      <c r="D6" t="s">
        <v>42</v>
      </c>
      <c r="E6">
        <v>1</v>
      </c>
      <c r="F6" s="2">
        <v>1800</v>
      </c>
      <c r="G6" s="2">
        <f t="shared" si="0"/>
        <v>1800</v>
      </c>
      <c r="H6" s="2">
        <v>0</v>
      </c>
      <c r="I6" s="2">
        <f t="shared" si="1"/>
        <v>-1800</v>
      </c>
      <c r="J6" t="s">
        <v>37</v>
      </c>
    </row>
    <row r="7" spans="1:10">
      <c r="A7" t="s">
        <v>43</v>
      </c>
      <c r="B7" t="s">
        <v>44</v>
      </c>
      <c r="C7" t="s">
        <v>45</v>
      </c>
      <c r="D7" t="s">
        <v>36</v>
      </c>
      <c r="E7">
        <v>1</v>
      </c>
      <c r="F7" s="2">
        <v>2500</v>
      </c>
      <c r="G7" s="2">
        <f t="shared" si="0"/>
        <v>2500</v>
      </c>
      <c r="H7" s="2">
        <v>0</v>
      </c>
      <c r="I7" s="2">
        <f t="shared" si="1"/>
        <v>-2500</v>
      </c>
      <c r="J7" t="s">
        <v>37</v>
      </c>
    </row>
    <row r="8" spans="1:10">
      <c r="A8" t="s">
        <v>43</v>
      </c>
      <c r="B8" t="s">
        <v>44</v>
      </c>
      <c r="C8" t="s">
        <v>43</v>
      </c>
      <c r="D8" t="s">
        <v>42</v>
      </c>
      <c r="E8">
        <v>1</v>
      </c>
      <c r="F8" s="2">
        <v>28000</v>
      </c>
      <c r="G8" s="2">
        <f t="shared" si="0"/>
        <v>28000</v>
      </c>
      <c r="H8" s="2">
        <v>0</v>
      </c>
      <c r="I8" s="2">
        <f t="shared" si="1"/>
        <v>-28000</v>
      </c>
      <c r="J8" t="s">
        <v>37</v>
      </c>
    </row>
    <row r="9" spans="1:10">
      <c r="A9" t="s">
        <v>44</v>
      </c>
      <c r="B9" t="s">
        <v>44</v>
      </c>
      <c r="C9" t="s">
        <v>46</v>
      </c>
      <c r="D9" t="s">
        <v>42</v>
      </c>
      <c r="E9">
        <v>1</v>
      </c>
      <c r="F9" s="2">
        <v>42000</v>
      </c>
      <c r="G9" s="2">
        <f t="shared" si="0"/>
        <v>42000</v>
      </c>
      <c r="H9" s="2">
        <v>0</v>
      </c>
      <c r="I9" s="2">
        <f t="shared" si="1"/>
        <v>-42000</v>
      </c>
      <c r="J9" t="s">
        <v>37</v>
      </c>
    </row>
    <row r="10" spans="1:10">
      <c r="A10" t="s">
        <v>47</v>
      </c>
      <c r="B10" t="s">
        <v>48</v>
      </c>
      <c r="C10" t="s">
        <v>49</v>
      </c>
      <c r="D10" t="s">
        <v>42</v>
      </c>
      <c r="E10">
        <v>1</v>
      </c>
      <c r="F10" s="2">
        <v>26000</v>
      </c>
      <c r="G10" s="2">
        <f t="shared" si="0"/>
        <v>26000</v>
      </c>
      <c r="H10" s="2">
        <v>0</v>
      </c>
      <c r="I10" s="2">
        <f t="shared" si="1"/>
        <v>-26000</v>
      </c>
      <c r="J10" t="s">
        <v>37</v>
      </c>
    </row>
    <row r="11" spans="1:10">
      <c r="A11" t="s">
        <v>50</v>
      </c>
      <c r="B11" t="s">
        <v>51</v>
      </c>
      <c r="C11" t="s">
        <v>52</v>
      </c>
      <c r="D11" t="s">
        <v>42</v>
      </c>
      <c r="E11">
        <v>1</v>
      </c>
      <c r="F11" s="2">
        <v>12000</v>
      </c>
      <c r="G11" s="2">
        <f t="shared" si="0"/>
        <v>12000</v>
      </c>
      <c r="H11" s="2">
        <v>0</v>
      </c>
      <c r="I11" s="2">
        <f t="shared" si="1"/>
        <v>-12000</v>
      </c>
      <c r="J11" t="s">
        <v>37</v>
      </c>
    </row>
    <row r="12" spans="1:10">
      <c r="A12" t="s">
        <v>50</v>
      </c>
      <c r="B12" t="s">
        <v>53</v>
      </c>
      <c r="C12" t="s">
        <v>54</v>
      </c>
      <c r="D12" t="s">
        <v>42</v>
      </c>
      <c r="E12">
        <v>1</v>
      </c>
      <c r="F12" s="2">
        <v>14500</v>
      </c>
      <c r="G12" s="2">
        <f t="shared" si="0"/>
        <v>14500</v>
      </c>
      <c r="H12" s="2">
        <v>0</v>
      </c>
      <c r="I12" s="2">
        <f t="shared" si="1"/>
        <v>-14500</v>
      </c>
      <c r="J12" t="s">
        <v>37</v>
      </c>
    </row>
    <row r="13" spans="1:10">
      <c r="A13" t="s">
        <v>55</v>
      </c>
      <c r="B13" t="s">
        <v>56</v>
      </c>
      <c r="C13" t="s">
        <v>57</v>
      </c>
      <c r="D13" t="s">
        <v>42</v>
      </c>
      <c r="E13">
        <v>1</v>
      </c>
      <c r="F13" s="2">
        <v>22000</v>
      </c>
      <c r="G13" s="2">
        <f t="shared" si="0"/>
        <v>22000</v>
      </c>
      <c r="H13" s="2">
        <v>0</v>
      </c>
      <c r="I13" s="2">
        <f t="shared" si="1"/>
        <v>-22000</v>
      </c>
      <c r="J13" t="s">
        <v>37</v>
      </c>
    </row>
    <row r="14" spans="1:10">
      <c r="A14" t="s">
        <v>58</v>
      </c>
      <c r="B14" t="s">
        <v>59</v>
      </c>
      <c r="C14" t="s">
        <v>60</v>
      </c>
      <c r="D14" t="s">
        <v>61</v>
      </c>
      <c r="E14">
        <v>120</v>
      </c>
      <c r="F14" s="2">
        <v>140</v>
      </c>
      <c r="G14" s="2">
        <f t="shared" si="0"/>
        <v>16800</v>
      </c>
      <c r="H14" s="2">
        <v>0</v>
      </c>
      <c r="I14" s="2">
        <f t="shared" si="1"/>
        <v>-16800</v>
      </c>
      <c r="J14" t="s">
        <v>37</v>
      </c>
    </row>
    <row r="15" spans="1:10">
      <c r="A15" t="s">
        <v>58</v>
      </c>
      <c r="B15" t="s">
        <v>62</v>
      </c>
      <c r="C15" t="s">
        <v>63</v>
      </c>
      <c r="D15" t="s">
        <v>61</v>
      </c>
      <c r="E15">
        <v>300</v>
      </c>
      <c r="F15" s="2">
        <v>38</v>
      </c>
      <c r="G15" s="2">
        <f t="shared" si="0"/>
        <v>11400</v>
      </c>
      <c r="H15" s="2">
        <v>0</v>
      </c>
      <c r="I15" s="2">
        <f t="shared" si="1"/>
        <v>-11400</v>
      </c>
      <c r="J15" t="s">
        <v>37</v>
      </c>
    </row>
    <row r="16" spans="1:10">
      <c r="A16" t="s">
        <v>64</v>
      </c>
      <c r="B16" t="s">
        <v>65</v>
      </c>
      <c r="C16" t="s">
        <v>66</v>
      </c>
      <c r="D16" t="s">
        <v>42</v>
      </c>
      <c r="E16">
        <v>1</v>
      </c>
      <c r="F16" s="2">
        <v>18000</v>
      </c>
      <c r="G16" s="2">
        <f t="shared" si="0"/>
        <v>18000</v>
      </c>
      <c r="H16" s="2">
        <v>0</v>
      </c>
      <c r="I16" s="2">
        <f t="shared" si="1"/>
        <v>-18000</v>
      </c>
      <c r="J16" t="s">
        <v>37</v>
      </c>
    </row>
    <row r="17" spans="1:10">
      <c r="A17" t="s">
        <v>67</v>
      </c>
      <c r="B17" t="s">
        <v>68</v>
      </c>
      <c r="C17" t="s">
        <v>12</v>
      </c>
      <c r="D17" t="s">
        <v>36</v>
      </c>
      <c r="E17">
        <v>1</v>
      </c>
      <c r="F17" s="2">
        <v>15000</v>
      </c>
      <c r="G17" s="2">
        <f t="shared" si="0"/>
        <v>15000</v>
      </c>
      <c r="H17" s="2">
        <v>0</v>
      </c>
      <c r="I17" s="2">
        <f t="shared" si="1"/>
        <v>-15000</v>
      </c>
      <c r="J17" t="s">
        <v>37</v>
      </c>
    </row>
    <row r="18" spans="1:10">
      <c r="A18" t="s">
        <v>69</v>
      </c>
      <c r="B18" t="s">
        <v>70</v>
      </c>
      <c r="C18" t="s">
        <v>71</v>
      </c>
      <c r="D18" t="s">
        <v>36</v>
      </c>
      <c r="E18">
        <v>1</v>
      </c>
      <c r="F18" s="2">
        <v>5000</v>
      </c>
      <c r="G18" s="2">
        <f t="shared" si="0"/>
        <v>5000</v>
      </c>
      <c r="H18" s="2">
        <v>0</v>
      </c>
      <c r="I18" s="2">
        <f t="shared" si="1"/>
        <v>-5000</v>
      </c>
      <c r="J18" t="s">
        <v>37</v>
      </c>
    </row>
  </sheetData>
  <mergeCells count="1">
    <mergeCell ref="A1:J1"/>
  </mergeCells>
  <dataValidations count="1">
    <dataValidation type="list" sqref="J4:J150" xr:uid="{00000000-0002-0000-0100-000000000000}">
      <formula1>"Pendente,Contratado,Em andamento,Concluido,Atrasado"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sqref="A1:H1"/>
    </sheetView>
  </sheetViews>
  <sheetFormatPr defaultRowHeight="14.25"/>
  <cols>
    <col min="1" max="1" width="11.25" bestFit="1" customWidth="1"/>
    <col min="2" max="2" width="11.125" bestFit="1" customWidth="1"/>
    <col min="3" max="3" width="7.875" bestFit="1" customWidth="1"/>
    <col min="4" max="4" width="10.625" bestFit="1" customWidth="1"/>
    <col min="5" max="5" width="6" bestFit="1" customWidth="1"/>
    <col min="6" max="6" width="5" bestFit="1" customWidth="1"/>
    <col min="7" max="7" width="5.875" bestFit="1" customWidth="1"/>
    <col min="8" max="8" width="46.875" customWidth="1"/>
  </cols>
  <sheetData>
    <row r="1" spans="1:8" ht="31.5" customHeight="1">
      <c r="A1" s="8" t="s">
        <v>72</v>
      </c>
      <c r="B1" s="8" t="s">
        <v>72</v>
      </c>
      <c r="C1" s="8" t="s">
        <v>72</v>
      </c>
      <c r="D1" s="8" t="s">
        <v>72</v>
      </c>
      <c r="E1" s="8" t="s">
        <v>72</v>
      </c>
      <c r="F1" s="8" t="s">
        <v>72</v>
      </c>
      <c r="G1" s="8" t="s">
        <v>72</v>
      </c>
      <c r="H1" s="8" t="s">
        <v>72</v>
      </c>
    </row>
    <row r="3" spans="1:8" ht="15">
      <c r="A3" s="1" t="s">
        <v>73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68</v>
      </c>
      <c r="H3" s="1" t="s">
        <v>79</v>
      </c>
    </row>
    <row r="4" spans="1:8">
      <c r="B4" t="s">
        <v>33</v>
      </c>
      <c r="D4" s="2">
        <v>0</v>
      </c>
      <c r="G4" t="s">
        <v>80</v>
      </c>
    </row>
    <row r="5" spans="1:8">
      <c r="B5" t="s">
        <v>43</v>
      </c>
      <c r="D5" s="2">
        <v>0</v>
      </c>
      <c r="G5" t="s">
        <v>81</v>
      </c>
    </row>
    <row r="6" spans="1:8">
      <c r="B6" t="s">
        <v>53</v>
      </c>
      <c r="D6" s="2">
        <v>0</v>
      </c>
      <c r="G6" t="s">
        <v>81</v>
      </c>
    </row>
    <row r="7" spans="1:8">
      <c r="B7" t="s">
        <v>51</v>
      </c>
      <c r="D7" s="2">
        <v>0</v>
      </c>
      <c r="G7" t="s">
        <v>81</v>
      </c>
    </row>
    <row r="8" spans="1:8">
      <c r="B8" t="s">
        <v>58</v>
      </c>
      <c r="D8" s="2">
        <v>0</v>
      </c>
      <c r="G8" t="s">
        <v>80</v>
      </c>
    </row>
    <row r="9" spans="1:8">
      <c r="B9" t="s">
        <v>62</v>
      </c>
      <c r="D9" s="2">
        <v>0</v>
      </c>
      <c r="G9" t="s">
        <v>82</v>
      </c>
    </row>
    <row r="10" spans="1:8">
      <c r="B10" t="s">
        <v>64</v>
      </c>
      <c r="D10" s="2">
        <v>0</v>
      </c>
      <c r="G10" t="s">
        <v>80</v>
      </c>
    </row>
  </sheetData>
  <mergeCells count="1">
    <mergeCell ref="A1:H1"/>
  </mergeCells>
  <dataValidations count="1">
    <dataValidation type="list" sqref="G4:G100" xr:uid="{00000000-0002-0000-0200-000000000000}">
      <formula1>"Baixo,Medio,Alto"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workbookViewId="0">
      <selection sqref="A1:H1"/>
    </sheetView>
  </sheetViews>
  <sheetFormatPr defaultRowHeight="14.25"/>
  <cols>
    <col min="1" max="1" width="9.875" bestFit="1" customWidth="1"/>
    <col min="2" max="2" width="18" bestFit="1" customWidth="1"/>
    <col min="3" max="3" width="9.5" bestFit="1" customWidth="1"/>
    <col min="4" max="4" width="18" bestFit="1" customWidth="1"/>
    <col min="5" max="5" width="12.125" bestFit="1" customWidth="1"/>
    <col min="6" max="6" width="11.75" bestFit="1" customWidth="1"/>
    <col min="7" max="7" width="7.25" bestFit="1" customWidth="1"/>
    <col min="8" max="8" width="15" customWidth="1"/>
  </cols>
  <sheetData>
    <row r="1" spans="1:8" ht="31.5" customHeight="1">
      <c r="A1" s="8" t="s">
        <v>83</v>
      </c>
      <c r="B1" s="8" t="s">
        <v>83</v>
      </c>
      <c r="C1" s="8" t="s">
        <v>83</v>
      </c>
      <c r="D1" s="8" t="s">
        <v>83</v>
      </c>
      <c r="E1" s="8" t="s">
        <v>83</v>
      </c>
      <c r="F1" s="8" t="s">
        <v>83</v>
      </c>
      <c r="G1" s="8" t="s">
        <v>83</v>
      </c>
      <c r="H1" s="8" t="s">
        <v>83</v>
      </c>
    </row>
    <row r="3" spans="1:8" ht="15">
      <c r="A3" s="1" t="s">
        <v>84</v>
      </c>
      <c r="B3" s="1" t="s">
        <v>73</v>
      </c>
      <c r="C3" s="1" t="s">
        <v>25</v>
      </c>
      <c r="D3" s="1" t="s">
        <v>85</v>
      </c>
      <c r="E3" s="1" t="s">
        <v>86</v>
      </c>
      <c r="F3" s="1" t="s">
        <v>20</v>
      </c>
      <c r="G3" s="1" t="s">
        <v>87</v>
      </c>
      <c r="H3" s="1" t="s">
        <v>32</v>
      </c>
    </row>
    <row r="4" spans="1:8">
      <c r="A4" s="3">
        <v>46178</v>
      </c>
      <c r="B4" t="s">
        <v>88</v>
      </c>
      <c r="C4" t="s">
        <v>33</v>
      </c>
      <c r="D4" t="s">
        <v>89</v>
      </c>
      <c r="E4" t="s">
        <v>90</v>
      </c>
      <c r="F4" s="2">
        <v>2500</v>
      </c>
      <c r="G4" s="2">
        <v>0</v>
      </c>
      <c r="H4" t="s">
        <v>37</v>
      </c>
    </row>
    <row r="5" spans="1:8">
      <c r="A5" s="3">
        <v>46193</v>
      </c>
      <c r="B5" t="s">
        <v>91</v>
      </c>
      <c r="C5" t="s">
        <v>39</v>
      </c>
      <c r="D5" t="s">
        <v>92</v>
      </c>
      <c r="E5" t="s">
        <v>90</v>
      </c>
      <c r="F5" s="2">
        <v>1500</v>
      </c>
      <c r="G5" s="2">
        <v>0</v>
      </c>
      <c r="H5" t="s">
        <v>37</v>
      </c>
    </row>
    <row r="6" spans="1:8">
      <c r="A6" s="3">
        <v>46208</v>
      </c>
      <c r="B6" t="s">
        <v>93</v>
      </c>
      <c r="C6" t="s">
        <v>43</v>
      </c>
      <c r="D6" t="s">
        <v>45</v>
      </c>
      <c r="E6" t="s">
        <v>90</v>
      </c>
      <c r="F6" s="2">
        <v>2500</v>
      </c>
      <c r="G6" s="2">
        <v>0</v>
      </c>
      <c r="H6" t="s">
        <v>37</v>
      </c>
    </row>
    <row r="7" spans="1:8">
      <c r="A7" s="3">
        <v>46223</v>
      </c>
      <c r="B7" t="s">
        <v>94</v>
      </c>
      <c r="C7" t="s">
        <v>43</v>
      </c>
      <c r="D7" t="s">
        <v>95</v>
      </c>
      <c r="E7" t="s">
        <v>96</v>
      </c>
      <c r="F7" s="2">
        <v>15000</v>
      </c>
      <c r="G7" s="2">
        <v>0</v>
      </c>
      <c r="H7" t="s">
        <v>37</v>
      </c>
    </row>
    <row r="8" spans="1:8">
      <c r="A8" s="3">
        <v>46249</v>
      </c>
      <c r="B8" t="s">
        <v>97</v>
      </c>
      <c r="C8" t="s">
        <v>44</v>
      </c>
      <c r="D8" t="s">
        <v>46</v>
      </c>
      <c r="E8" t="s">
        <v>98</v>
      </c>
      <c r="F8" s="2">
        <v>18000</v>
      </c>
      <c r="G8" s="2">
        <v>0</v>
      </c>
      <c r="H8" t="s">
        <v>37</v>
      </c>
    </row>
    <row r="9" spans="1:8">
      <c r="A9" s="3"/>
      <c r="F9" s="2">
        <v>0</v>
      </c>
      <c r="G9" s="2">
        <v>0</v>
      </c>
      <c r="H9" t="s">
        <v>37</v>
      </c>
    </row>
    <row r="10" spans="1:8">
      <c r="A10" s="3"/>
      <c r="F10" s="2">
        <v>0</v>
      </c>
      <c r="G10" s="2">
        <v>0</v>
      </c>
      <c r="H10" t="s">
        <v>37</v>
      </c>
    </row>
    <row r="11" spans="1:8">
      <c r="A11" s="3"/>
      <c r="F11" s="2">
        <v>0</v>
      </c>
      <c r="G11" s="2">
        <v>0</v>
      </c>
      <c r="H11" t="s">
        <v>37</v>
      </c>
    </row>
    <row r="12" spans="1:8">
      <c r="A12" s="3"/>
      <c r="F12" s="2">
        <v>0</v>
      </c>
      <c r="G12" s="2">
        <v>0</v>
      </c>
      <c r="H12" t="s">
        <v>37</v>
      </c>
    </row>
    <row r="13" spans="1:8">
      <c r="A13" s="3"/>
      <c r="F13" s="2">
        <v>0</v>
      </c>
      <c r="G13" s="2">
        <v>0</v>
      </c>
      <c r="H13" t="s">
        <v>37</v>
      </c>
    </row>
  </sheetData>
  <mergeCells count="1">
    <mergeCell ref="A1:H1"/>
  </mergeCells>
  <dataValidations count="1">
    <dataValidation type="list" sqref="H4:H200" xr:uid="{00000000-0002-0000-0300-000000000000}">
      <formula1>"Pendente,Pago,Parcial,Atrasado"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showGridLines="0" workbookViewId="0">
      <selection activeCell="G21" sqref="G21"/>
    </sheetView>
  </sheetViews>
  <sheetFormatPr defaultRowHeight="14.25"/>
  <cols>
    <col min="1" max="1" width="12.125" bestFit="1" customWidth="1"/>
    <col min="2" max="2" width="12.5" bestFit="1" customWidth="1"/>
    <col min="3" max="3" width="13.625" bestFit="1" customWidth="1"/>
    <col min="4" max="4" width="11.875" bestFit="1" customWidth="1"/>
    <col min="5" max="5" width="9.5" bestFit="1" customWidth="1"/>
    <col min="6" max="6" width="16" customWidth="1"/>
    <col min="7" max="7" width="22.375" customWidth="1"/>
    <col min="8" max="8" width="18.625" customWidth="1"/>
  </cols>
  <sheetData>
    <row r="1" spans="1:8" ht="31.5" customHeight="1">
      <c r="A1" s="8" t="s">
        <v>99</v>
      </c>
      <c r="B1" s="8" t="s">
        <v>99</v>
      </c>
      <c r="C1" s="8" t="s">
        <v>99</v>
      </c>
      <c r="D1" s="8" t="s">
        <v>99</v>
      </c>
      <c r="E1" s="8" t="s">
        <v>99</v>
      </c>
      <c r="F1" s="8" t="s">
        <v>99</v>
      </c>
      <c r="G1" s="8" t="s">
        <v>99</v>
      </c>
      <c r="H1" s="8" t="s">
        <v>99</v>
      </c>
    </row>
    <row r="3" spans="1:8" ht="15">
      <c r="A3" s="1" t="s">
        <v>26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  <c r="G3" s="1" t="s">
        <v>105</v>
      </c>
      <c r="H3" s="1" t="s">
        <v>32</v>
      </c>
    </row>
    <row r="4" spans="1:8">
      <c r="A4" t="s">
        <v>106</v>
      </c>
      <c r="C4" s="3">
        <v>46174</v>
      </c>
      <c r="D4" s="3">
        <v>46203</v>
      </c>
      <c r="E4" s="3"/>
      <c r="F4" s="3"/>
      <c r="G4" s="4">
        <v>0</v>
      </c>
      <c r="H4" t="s">
        <v>37</v>
      </c>
    </row>
    <row r="5" spans="1:8">
      <c r="A5" t="s">
        <v>107</v>
      </c>
      <c r="C5" s="3">
        <v>46204</v>
      </c>
      <c r="D5" s="3">
        <v>46223</v>
      </c>
      <c r="E5" s="3"/>
      <c r="F5" s="3"/>
      <c r="G5" s="4">
        <v>0</v>
      </c>
      <c r="H5" t="s">
        <v>37</v>
      </c>
    </row>
    <row r="6" spans="1:8">
      <c r="A6" t="s">
        <v>39</v>
      </c>
      <c r="C6" s="3">
        <v>46224</v>
      </c>
      <c r="D6" s="3">
        <v>46234</v>
      </c>
      <c r="E6" s="3"/>
      <c r="F6" s="3"/>
      <c r="G6" s="4">
        <v>0</v>
      </c>
      <c r="H6" t="s">
        <v>37</v>
      </c>
    </row>
    <row r="7" spans="1:8">
      <c r="A7" t="s">
        <v>43</v>
      </c>
      <c r="C7" s="3">
        <v>46235</v>
      </c>
      <c r="D7" s="3">
        <v>46259</v>
      </c>
      <c r="E7" s="3"/>
      <c r="F7" s="3"/>
      <c r="G7" s="4">
        <v>0</v>
      </c>
      <c r="H7" t="s">
        <v>37</v>
      </c>
    </row>
    <row r="8" spans="1:8">
      <c r="A8" t="s">
        <v>44</v>
      </c>
      <c r="C8" s="3">
        <v>46260</v>
      </c>
      <c r="D8" s="3">
        <v>46300</v>
      </c>
      <c r="E8" s="3"/>
      <c r="F8" s="3"/>
      <c r="G8" s="4">
        <v>0</v>
      </c>
      <c r="H8" t="s">
        <v>37</v>
      </c>
    </row>
    <row r="9" spans="1:8">
      <c r="A9" t="s">
        <v>47</v>
      </c>
      <c r="C9" s="3">
        <v>46301</v>
      </c>
      <c r="D9" s="3">
        <v>46341</v>
      </c>
      <c r="E9" s="3"/>
      <c r="F9" s="3"/>
      <c r="G9" s="4">
        <v>0</v>
      </c>
      <c r="H9" t="s">
        <v>37</v>
      </c>
    </row>
    <row r="10" spans="1:8">
      <c r="A10" t="s">
        <v>50</v>
      </c>
      <c r="C10" s="3">
        <v>46342</v>
      </c>
      <c r="D10" s="3">
        <v>46376</v>
      </c>
      <c r="E10" s="3"/>
      <c r="F10" s="3"/>
      <c r="G10" s="4">
        <v>0</v>
      </c>
      <c r="H10" t="s">
        <v>37</v>
      </c>
    </row>
    <row r="11" spans="1:8">
      <c r="A11" t="s">
        <v>55</v>
      </c>
      <c r="C11" s="3">
        <v>46392</v>
      </c>
      <c r="D11" s="3">
        <v>46412</v>
      </c>
      <c r="E11" s="3"/>
      <c r="F11" s="3"/>
      <c r="G11" s="4">
        <v>0</v>
      </c>
      <c r="H11" t="s">
        <v>37</v>
      </c>
    </row>
    <row r="12" spans="1:8">
      <c r="A12" t="s">
        <v>108</v>
      </c>
      <c r="C12" s="3">
        <v>46413</v>
      </c>
      <c r="D12" s="3">
        <v>46466</v>
      </c>
      <c r="E12" s="3"/>
      <c r="F12" s="3"/>
      <c r="G12" s="4">
        <v>0</v>
      </c>
      <c r="H12" t="s">
        <v>37</v>
      </c>
    </row>
    <row r="13" spans="1:8">
      <c r="A13" t="s">
        <v>109</v>
      </c>
      <c r="C13" s="3">
        <v>46467</v>
      </c>
      <c r="D13" s="3">
        <v>46477</v>
      </c>
      <c r="E13" s="3"/>
      <c r="F13" s="3"/>
      <c r="G13" s="4">
        <v>0</v>
      </c>
      <c r="H13" t="s">
        <v>37</v>
      </c>
    </row>
    <row r="14" spans="1:8">
      <c r="A14" t="s">
        <v>110</v>
      </c>
      <c r="C14" s="3">
        <v>46478</v>
      </c>
      <c r="D14" s="3">
        <v>46482</v>
      </c>
      <c r="E14" s="3"/>
      <c r="F14" s="3"/>
      <c r="G14" s="4">
        <v>0</v>
      </c>
      <c r="H14" t="s">
        <v>37</v>
      </c>
    </row>
  </sheetData>
  <mergeCells count="1">
    <mergeCell ref="A1:H1"/>
  </mergeCells>
  <dataValidations count="1">
    <dataValidation type="list" sqref="H4:H100" xr:uid="{00000000-0002-0000-0400-000000000000}">
      <formula1>"Pendente,Em andamento,Concluido,Atrasado"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"/>
  <sheetViews>
    <sheetView showGridLines="0" workbookViewId="0">
      <selection activeCell="G19" sqref="G19"/>
    </sheetView>
  </sheetViews>
  <sheetFormatPr defaultRowHeight="14.25"/>
  <cols>
    <col min="1" max="3" width="18.25" customWidth="1"/>
    <col min="4" max="4" width="20" customWidth="1"/>
    <col min="5" max="7" width="18.25" customWidth="1"/>
  </cols>
  <sheetData>
    <row r="1" spans="1:7" ht="31.5" customHeight="1">
      <c r="A1" s="8" t="s">
        <v>111</v>
      </c>
      <c r="B1" s="8" t="s">
        <v>111</v>
      </c>
      <c r="C1" s="8" t="s">
        <v>111</v>
      </c>
      <c r="D1" s="8" t="s">
        <v>111</v>
      </c>
      <c r="E1" s="8" t="s">
        <v>111</v>
      </c>
      <c r="F1" s="8" t="s">
        <v>111</v>
      </c>
      <c r="G1" s="8" t="s">
        <v>111</v>
      </c>
    </row>
    <row r="3" spans="1:7" ht="30">
      <c r="A3" s="1" t="s">
        <v>84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</row>
    <row r="4" spans="1:7">
      <c r="A4" s="3"/>
    </row>
    <row r="5" spans="1:7">
      <c r="A5" s="3"/>
    </row>
    <row r="6" spans="1:7">
      <c r="A6" s="3"/>
    </row>
    <row r="7" spans="1:7">
      <c r="A7" s="3"/>
    </row>
    <row r="8" spans="1:7">
      <c r="A8" s="3"/>
    </row>
    <row r="9" spans="1:7">
      <c r="A9" s="3"/>
    </row>
    <row r="10" spans="1:7">
      <c r="A10" s="3"/>
    </row>
    <row r="11" spans="1:7">
      <c r="A11" s="3"/>
    </row>
    <row r="12" spans="1:7">
      <c r="A12" s="3"/>
    </row>
    <row r="13" spans="1:7">
      <c r="A13" s="3"/>
    </row>
    <row r="14" spans="1:7">
      <c r="A14" s="3"/>
    </row>
    <row r="15" spans="1:7">
      <c r="A15" s="3"/>
    </row>
    <row r="16" spans="1:7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Orcamento</vt:lpstr>
      <vt:lpstr>Fornecedores</vt:lpstr>
      <vt:lpstr>Pagamentos</vt:lpstr>
      <vt:lpstr>Cronograma</vt:lpstr>
      <vt:lpstr>Diario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Apex Construtora e Financeira</cp:lastModifiedBy>
  <dcterms:created xsi:type="dcterms:W3CDTF">2026-05-27T13:05:59Z</dcterms:created>
  <dcterms:modified xsi:type="dcterms:W3CDTF">2026-05-27T13:05:59Z</dcterms:modified>
</cp:coreProperties>
</file>
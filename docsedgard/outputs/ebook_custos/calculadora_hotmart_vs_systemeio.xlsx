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cdcffe1d6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c809057bac34972"/>
    <x:sheet xmlns:r="http://schemas.openxmlformats.org/officeDocument/2006/relationships" name="Simulador" sheetId="2" r:id="R22990d8ee8e840c1"/>
    <x:sheet xmlns:r="http://schemas.openxmlformats.org/officeDocument/2006/relationships" name="Taxas" sheetId="3" r:id="R4b4f72b141d446aa"/>
    <x:sheet xmlns:r="http://schemas.openxmlformats.org/officeDocument/2006/relationships" name="Checklist" sheetId="4" r:id="Re57924a3b95a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R$ #,##0.00"/>
    <x:numFmt numFmtId="202" formatCode="0"/>
    <x:numFmt numFmtId="203" formatCode="0%"/>
  </x:numFmts>
  <x:fonts count="6">
    <x:font>
      <x:sz val="11"/>
      <x:name val="Carlito"/>
    </x:font>
    <x:font>
      <x:b/>
      <x:sz val="18"/>
      <x:color rgb="FFC8A84B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C8A84B"/>
      <x:name val="Carlito"/>
    </x:font>
    <x:font>
      <x:sz val="11"/>
      <x:color rgb="FFCBD5E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090F"/>
      </x:patternFill>
    </x:fill>
    <x:fill>
      <x:patternFill patternType="solid">
        <x:fgColor rgb="FF0C1322"/>
      </x:patternFill>
    </x:fill>
    <x:fill>
      <x:patternFill patternType="solid">
        <x:fgColor rgb="FFFFF7D6"/>
      </x:patternFill>
    </x:fill>
    <x:fill>
      <x:patternFill patternType="solid">
        <x:fgColor rgb="FF162033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0d3836e9b4403" /><Relationship Type="http://schemas.openxmlformats.org/officeDocument/2006/relationships/theme" Target="/xl/theme/theme1.xml" Id="R592f65783466432a" /><Relationship Type="http://schemas.openxmlformats.org/officeDocument/2006/relationships/sharedStrings" Target="/xl/sharedStrings.xml" Id="R92f0990eed524435" /><Relationship Type="http://schemas.openxmlformats.org/officeDocument/2006/relationships/worksheet" Target="/xl/worksheets/sheet1.xml" Id="R3c809057bac34972" /><Relationship Type="http://schemas.openxmlformats.org/officeDocument/2006/relationships/worksheet" Target="/xl/worksheets/sheet2.xml" Id="R22990d8ee8e840c1" /><Relationship Type="http://schemas.openxmlformats.org/officeDocument/2006/relationships/worksheet" Target="/xl/worksheets/sheet3.xml" Id="R4b4f72b141d446aa" /><Relationship Type="http://schemas.openxmlformats.org/officeDocument/2006/relationships/worksheet" Target="/xl/worksheets/sheet4.xml" Id="Re57924a3b95a40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0a77a50cb849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Comparativo de líquido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Líquido/venda</c:v>
          </c:tx>
          <c:cat>
            <c:strRef>
              <c:f>'Dashboard'!$A$16:$A$17</c:f>
              <c:strCache>
                <c:ptCount val="0"/>
              </c:strCache>
            </c:strRef>
          </c:cat>
          <c:val>
            <c:numRef>
              <c:f>'Dashboard'!$B$16:$B$17</c:f>
              <c:numCache>
                <c:formatCode>R$ #,##0.00</c:formatCode>
                <c:ptCount val="0"/>
              </c:numCache>
            </c:numRef>
          </c:val>
        </c:ser>
        <c:ser>
          <c:idx val="1"/>
          <c:order val="1"/>
          <c:tx>
            <c:v>Líquido/mês</c:v>
          </c:tx>
          <c:cat>
            <c:strRef>
              <c:f>'Dashboard'!$A$16:$A$17</c:f>
              <c:strCache>
                <c:ptCount val="0"/>
              </c:strCache>
            </c:strRef>
          </c:cat>
          <c:val>
            <c:numRef>
              <c:f>'Dashboard'!$C$16:$C$17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0a77a50cb849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eefd3706ce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880001068115234" hidden="0" customWidth="1"/>
    <x:col min="2" max="2" width="54.880001068115234" hidden="0" customWidth="1"/>
    <x:col min="3" max="3" width="54.880001068115234" hidden="0" customWidth="1"/>
    <x:col min="4" max="4" width="54.880001068115234" hidden="0" customWidth="1"/>
    <x:col min="5" max="5" width="54.880001068115234" hidden="0" customWidth="1"/>
    <x:col min="6" max="6" width="54.880001068115234" hidden="0" customWidth="1"/>
    <x:col min="7" max="7" width="54.880001068115234" hidden="0" customWidth="1"/>
    <x:col min="8" max="8" width="54.880001068115234" hidden="0" customWidth="1"/>
  </x:cols>
  <x:sheetData>
    <x:row r="1" ht="31.5" customHeight="1">
      <x:c r="A1" s="4" t="str">
        <x:v>Resumo de decisão - Hotmart vs Systeme.io</x:v>
      </x:c>
      <x:c r="B1" s="4" t="str">
        <x:v>Resumo de decisão - Hotmart vs Systeme.io</x:v>
      </x:c>
      <x:c r="C1" s="4" t="str">
        <x:v>Resumo de decisão - Hotmart vs Systeme.io</x:v>
      </x:c>
      <x:c r="D1" s="4" t="str">
        <x:v>Resumo de decisão - Hotmart vs Systeme.io</x:v>
      </x:c>
      <x:c r="E1" s="4" t="str">
        <x:v>Resumo de decisão - Hotmart vs Systeme.io</x:v>
      </x:c>
      <x:c r="F1" s="4" t="str">
        <x:v>Resumo de decisão - Hotmart vs Systeme.io</x:v>
      </x:c>
      <x:c r="G1" s="4" t="str">
        <x:v>Resumo de decisão - Hotmart vs Systeme.io</x:v>
      </x:c>
      <x:c r="H1" s="4" t="str">
        <x:v>Resumo de decisão - Hotmart vs Systeme.io</x:v>
      </x:c>
    </x:row>
    <x:row r="3">
      <x:c r="A3" s="9" t="str">
        <x:v>Métrica</x:v>
      </x:c>
      <x:c r="B3" s="9" t="str">
        <x:v>Hotmart</x:v>
      </x:c>
      <x:c r="C3" s="9" t="str">
        <x:v>Systeme.io</x:v>
      </x:c>
      <x:c r="D3" s="9" t="str">
        <x:v>Melhor opção</x:v>
      </x:c>
      <x:c r="E3" s="9" t="str">
        <x:v>Diferença por venda</x:v>
      </x:c>
      <x:c r="F3" s="9" t="str">
        <x:v>Diferença no mês</x:v>
      </x:c>
      <x:c r="G3" s="9" t="str">
        <x:v>Preço base</x:v>
      </x:c>
      <x:c r="H3" s="9" t="str">
        <x:v>Vendas/mês</x:v>
      </x:c>
    </x:row>
    <x:row r="4">
      <x:c r="A4" t="str">
        <x:v>Líquido por venda</x:v>
      </x:c>
      <x:c r="B4" s="11" t="n">
        <x:f>Simulador!J11</x:f>
        <x:v>131.447</x:v>
      </x:c>
      <x:c r="C4" s="11" t="n">
        <x:f>Simulador!J12</x:f>
        <x:v>139.1647</x:v>
      </x:c>
      <x:c r="D4" t="str">
        <x:f>IF(B4&gt;C4,"Hotmart","Systeme.io")</x:f>
        <x:v>Systeme.io</x:v>
      </x:c>
      <x:c r="E4" s="11" t="n">
        <x:f>ABS(B4-C4)</x:f>
        <x:v>7.717700000000008</x:v>
      </x:c>
      <x:c r="F4" s="11" t="n">
        <x:f>ABS(B4-C4)*Simulador!$B$7</x:f>
        <x:v>771.7700000000008</x:v>
      </x:c>
      <x:c r="G4" s="11" t="n">
        <x:f>Simulador!$B$3</x:f>
        <x:v>147</x:v>
      </x:c>
      <x:c r="H4" s="23" t="n">
        <x:f>Simulador!$B$7</x:f>
        <x:v>100</x:v>
      </x:c>
    </x:row>
    <x:row r="5">
      <x:c r="A5" t="str">
        <x:v>Líquido mensal</x:v>
      </x:c>
      <x:c r="B5" s="11" t="n">
        <x:f>Simulador!K11</x:f>
        <x:v>13144.7</x:v>
      </x:c>
      <x:c r="C5" s="11" t="n">
        <x:f>Simulador!K12</x:f>
        <x:v>13916.470000000001</x:v>
      </x:c>
      <x:c r="D5" t="str">
        <x:f>IF(B5&gt;C5,"Hotmart","Systeme.io")</x:f>
        <x:v>Systeme.io</x:v>
      </x:c>
      <x:c r="E5" s="11" t="n">
        <x:f>ABS(B5-C5)/Simulador!$B$7</x:f>
        <x:v>7.717700000000004</x:v>
      </x:c>
      <x:c r="F5" s="11" t="n">
        <x:f>ABS(B5-C5)</x:f>
        <x:v>771.7700000000004</x:v>
      </x:c>
      <x:c r="G5" s="11" t="n">
        <x:f>Simulador!$B$3</x:f>
        <x:v>147</x:v>
      </x:c>
      <x:c r="H5" s="23" t="n">
        <x:f>Simulador!$B$7</x:f>
        <x:v>100</x:v>
      </x:c>
    </x:row>
    <x:row r="6">
      <x:c r="A6" t="str">
        <x:v>Com extras estimados</x:v>
      </x:c>
      <x:c r="B6" s="11" t="n">
        <x:f>Simulador!K11+Simulador!E19</x:f>
        <x:v>14623.7</x:v>
      </x:c>
      <x:c r="C6" s="11" t="n">
        <x:f>Simulador!K12+Simulador!E19</x:f>
        <x:v>15395.470000000001</x:v>
      </x:c>
      <x:c r="D6" t="str">
        <x:f>IF(B6&gt;C6,"Hotmart","Systeme.io")</x:f>
        <x:v>Systeme.io</x:v>
      </x:c>
      <x:c r="E6" s="11" t="n">
        <x:f>ABS(B6-C6)/Simulador!$B$7</x:f>
        <x:v>7.717700000000004</x:v>
      </x:c>
      <x:c r="F6" s="11" t="n">
        <x:f>ABS(B6-C6)</x:f>
        <x:v>771.7700000000004</x:v>
      </x:c>
      <x:c r="G6" s="11" t="n">
        <x:f>Simulador!$B$3</x:f>
        <x:v>147</x:v>
      </x:c>
      <x:c r="H6" s="23" t="n">
        <x:f>Simulador!$B$7</x:f>
        <x:v>100</x:v>
      </x:c>
    </x:row>
    <x:row r="8">
      <x:c r="A8" s="25" t="str">
        <x:v>Como usar</x:v>
      </x:c>
      <x:c r="B8" s="25" t="str">
        <x:v>1. Edite as premissas amarelas no Simulador.</x:v>
      </x:c>
    </x:row>
    <x:row r="9">
      <x:c r="A9" s="25" t="str"/>
      <x:c r="B9" s="25" t="str">
        <x:v>2. Ajuste as taxas na aba Taxas conforme o checkout escolhido.</x:v>
      </x:c>
    </x:row>
    <x:row r="10">
      <x:c r="A10" s="25" t="str"/>
      <x:c r="B10" s="25" t="str">
        <x:v>3. Simule preço, vendas por mês e ofertas extras.</x:v>
      </x:c>
    </x:row>
    <x:row r="11">
      <x:c r="A11" s="25" t="str"/>
      <x:c r="B11" s="25" t="str">
        <x:v>4. Use o Dashboard para decidir onde o líquido fica maior.</x:v>
      </x:c>
    </x:row>
    <x:row r="12">
      <x:c r="A12" s="25" t="str"/>
      <x:c r="B12" s="25" t="str">
        <x:v>5. Antes de publicar, confirme taxas oficiais da plataforma.</x:v>
      </x:c>
    </x:row>
    <x:row r="15">
      <x:c r="A15" s="9" t="str">
        <x:v>Plataforma</x:v>
      </x:c>
      <x:c r="B15" s="9" t="str">
        <x:v>Líquido/venda</x:v>
      </x:c>
      <x:c r="C15" s="9" t="str">
        <x:v>Líquido/mês</x:v>
      </x:c>
    </x:row>
    <x:row r="16">
      <x:c r="A16" t="str">
        <x:v>Hotmart</x:v>
      </x:c>
      <x:c r="B16" s="11" t="n">
        <x:f>Simulador!J11</x:f>
        <x:v>131.447</x:v>
      </x:c>
      <x:c r="C16" s="11" t="n">
        <x:f>Simulador!K11</x:f>
        <x:v>13144.7</x:v>
      </x:c>
    </x:row>
    <x:row r="17">
      <x:c r="A17" t="str">
        <x:v>Systeme.io</x:v>
      </x:c>
      <x:c r="B17" s="11" t="n">
        <x:f>Simulador!J12</x:f>
        <x:v>139.1647</x:v>
      </x:c>
      <x:c r="C17" s="11" t="n">
        <x:f>Simulador!K12</x:f>
        <x:v>13916.470000000001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aeefd3706ce453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630001068115234" hidden="0" customWidth="1"/>
    <x:col min="2" max="2" width="51" hidden="0" customWidth="1"/>
    <x:col min="3" max="3" width="46.630001068115234" hidden="0" customWidth="1"/>
    <x:col min="4" max="4" width="46.630001068115234" hidden="0" customWidth="1"/>
    <x:col min="5" max="5" width="46.630001068115234" hidden="0" customWidth="1"/>
    <x:col min="6" max="6" width="46.630001068115234" hidden="0" customWidth="1"/>
    <x:col min="7" max="7" width="46.630001068115234" hidden="0" customWidth="1"/>
    <x:col min="8" max="8" width="46.630001068115234" hidden="0" customWidth="1"/>
    <x:col min="9" max="9" width="46.630001068115234" hidden="0" customWidth="1"/>
    <x:col min="10" max="10" width="46.630001068115234" hidden="0" customWidth="1"/>
    <x:col min="11" max="11" width="46.630001068115234" hidden="0" customWidth="1"/>
    <x:col min="12" max="12" width="46.630001068115234" hidden="0" customWidth="1"/>
  </x:cols>
  <x:sheetData>
    <x:row r="1" ht="31.5" customHeight="1">
      <x:c r="A1" s="4" t="str">
        <x:v>Simulador de lucro líquido por venda</x:v>
      </x:c>
      <x:c r="B1" s="4" t="str">
        <x:v>Simulador de lucro líquido por venda</x:v>
      </x:c>
      <x:c r="C1" s="4" t="str">
        <x:v>Simulador de lucro líquido por venda</x:v>
      </x:c>
      <x:c r="D1" s="4" t="str">
        <x:v>Simulador de lucro líquido por venda</x:v>
      </x:c>
      <x:c r="E1" s="4" t="str">
        <x:v>Simulador de lucro líquido por venda</x:v>
      </x:c>
      <x:c r="F1" s="4" t="str">
        <x:v>Simulador de lucro líquido por venda</x:v>
      </x:c>
      <x:c r="G1" s="4" t="str">
        <x:v>Simulador de lucro líquido por venda</x:v>
      </x:c>
      <x:c r="H1" s="4" t="str">
        <x:v>Simulador de lucro líquido por venda</x:v>
      </x:c>
      <x:c r="I1" s="4" t="str">
        <x:v>Simulador de lucro líquido por venda</x:v>
      </x:c>
      <x:c r="J1" s="4" t="str">
        <x:v>Simulador de lucro líquido por venda</x:v>
      </x:c>
      <x:c r="K1" s="4" t="str">
        <x:v>Simulador de lucro líquido por venda</x:v>
      </x:c>
      <x:c r="L1" s="4" t="str">
        <x:v>Simulador de lucro líquido por venda</x:v>
      </x:c>
    </x:row>
    <x:row r="3">
      <x:c r="A3" s="6" t="str">
        <x:v>Preço do ebook</x:v>
      </x:c>
      <x:c r="B3" s="15" t="n">
        <x:v>147</x:v>
      </x:c>
    </x:row>
    <x:row r="4">
      <x:c r="A4" s="6" t="str">
        <x:v>Custo de entrega por venda</x:v>
      </x:c>
      <x:c r="B4" s="15" t="n">
        <x:v>0</x:v>
      </x:c>
    </x:row>
    <x:row r="5">
      <x:c r="A5" s="6" t="str">
        <x:v>Imposto / reserva %</x:v>
      </x:c>
      <x:c r="B5" s="16" t="n">
        <x:v>0</x:v>
      </x:c>
    </x:row>
    <x:row r="6">
      <x:c r="A6" s="6" t="str">
        <x:v>Comissão afiliado %</x:v>
      </x:c>
      <x:c r="B6" s="16" t="n">
        <x:v>0</x:v>
      </x:c>
    </x:row>
    <x:row r="7">
      <x:c r="A7" s="6" t="str">
        <x:v>Vendas por mês</x:v>
      </x:c>
      <x:c r="B7" s="17" t="n">
        <x:v>100</x:v>
      </x:c>
    </x:row>
    <x:row r="8">
      <x:c r="A8" s="6" t="str">
        <x:v>Observação</x:v>
      </x:c>
      <x:c r="B8" t="str">
        <x:v>Edite os campos amarelos e veja o líquido mudar automaticamente.</x:v>
      </x:c>
    </x:row>
    <x:row r="10">
      <x:c r="A10" s="9" t="str">
        <x:v>Plataforma</x:v>
      </x:c>
      <x:c r="B10" s="9" t="str">
        <x:v>Taxa %</x:v>
      </x:c>
      <x:c r="C10" s="9" t="str">
        <x:v>Taxa fixa</x:v>
      </x:c>
      <x:c r="D10" s="9" t="str">
        <x:v>Mensalidade</x:v>
      </x:c>
      <x:c r="E10" s="9" t="str">
        <x:v>Preço bruto</x:v>
      </x:c>
      <x:c r="F10" s="9" t="str">
        <x:v>Taxa venda</x:v>
      </x:c>
      <x:c r="G10" s="9" t="str">
        <x:v>Imposto/reserva</x:v>
      </x:c>
      <x:c r="H10" s="9" t="str">
        <x:v>Afiliado</x:v>
      </x:c>
      <x:c r="I10" s="9" t="str">
        <x:v>Custo entrega</x:v>
      </x:c>
      <x:c r="J10" s="9" t="str">
        <x:v>Líquido/venda</x:v>
      </x:c>
      <x:c r="K10" s="9" t="str">
        <x:v>Líquido/mês</x:v>
      </x:c>
      <x:c r="L10" s="9" t="str">
        <x:v>Preço mínimo</x:v>
      </x:c>
    </x:row>
    <x:row r="11">
      <x:c r="A11" t="str">
        <x:v>Hotmart</x:v>
      </x:c>
      <x:c r="B11" s="10" t="n">
        <x:f>Taxas!B4</x:f>
        <x:v>0.099</x:v>
      </x:c>
      <x:c r="C11" s="11" t="n">
        <x:f>Taxas!C4</x:f>
        <x:v>1</x:v>
      </x:c>
      <x:c r="D11" s="11" t="n">
        <x:f>Taxas!D4</x:f>
        <x:v>0</x:v>
      </x:c>
      <x:c r="E11" s="11" t="n">
        <x:f>$B$3</x:f>
        <x:v>147</x:v>
      </x:c>
      <x:c r="F11" s="11" t="n">
        <x:f>E11*B11+C11</x:f>
        <x:v>15.553</x:v>
      </x:c>
      <x:c r="G11" s="11" t="n">
        <x:f>E11*$B$5</x:f>
        <x:v>0</x:v>
      </x:c>
      <x:c r="H11" s="11" t="n">
        <x:f>E11*$B$6</x:f>
        <x:v>0</x:v>
      </x:c>
      <x:c r="I11" s="11" t="n">
        <x:f>$B$4</x:f>
        <x:v>0</x:v>
      </x:c>
      <x:c r="J11" s="11" t="n">
        <x:f>E11-F11-G11-H11-I11</x:f>
        <x:v>131.447</x:v>
      </x:c>
      <x:c r="K11" s="11" t="n">
        <x:f>J11*$B$7-D11</x:f>
        <x:v>13144.7</x:v>
      </x:c>
      <x:c r="L11" s="11" t="n">
        <x:f>IFERROR((C11+$B$4)/(1-B11-$B$5-$B$6),"")</x:f>
        <x:v>1.1098779134295227</x:v>
      </x:c>
    </x:row>
    <x:row r="12">
      <x:c r="A12" t="str">
        <x:v>Systeme.io</x:v>
      </x:c>
      <x:c r="B12" s="10" t="n">
        <x:f>Taxas!B5</x:f>
        <x:v>0.0499</x:v>
      </x:c>
      <x:c r="C12" s="11" t="n">
        <x:f>Taxas!C5</x:f>
        <x:v>0.5</x:v>
      </x:c>
      <x:c r="D12" s="11" t="n">
        <x:f>Taxas!D5</x:f>
        <x:v>0</x:v>
      </x:c>
      <x:c r="E12" s="11" t="n">
        <x:f>$B$3</x:f>
        <x:v>147</x:v>
      </x:c>
      <x:c r="F12" s="11" t="n">
        <x:f>E12*B12+C12</x:f>
        <x:v>7.8353</x:v>
      </x:c>
      <x:c r="G12" s="11" t="n">
        <x:f>E12*$B$5</x:f>
        <x:v>0</x:v>
      </x:c>
      <x:c r="H12" s="11" t="n">
        <x:f>E12*$B$6</x:f>
        <x:v>0</x:v>
      </x:c>
      <x:c r="I12" s="11" t="n">
        <x:f>$B$4</x:f>
        <x:v>0</x:v>
      </x:c>
      <x:c r="J12" s="11" t="n">
        <x:f>E12-F12-G12-H12-I12</x:f>
        <x:v>139.1647</x:v>
      </x:c>
      <x:c r="K12" s="11" t="n">
        <x:f>J12*$B$7-D12</x:f>
        <x:v>13916.470000000001</x:v>
      </x:c>
      <x:c r="L12" s="11" t="n">
        <x:f>IFERROR((C12+$B$4)/(1-B12-$B$5-$B$6),"")</x:f>
        <x:v>0.5262603936427744</x:v>
      </x:c>
    </x:row>
    <x:row r="15">
      <x:c r="A15" s="9" t="str">
        <x:v>Oferta extra</x:v>
      </x:c>
      <x:c r="B15" s="9" t="str">
        <x:v>Preço</x:v>
      </x:c>
      <x:c r="C15" s="9" t="str">
        <x:v>Aderência estimada</x:v>
      </x:c>
      <x:c r="D15" s="9" t="str">
        <x:v>Receita extra/venda</x:v>
      </x:c>
      <x:c r="E15" s="9" t="str">
        <x:v>Potencial no mês</x:v>
      </x:c>
    </x:row>
    <x:row r="16">
      <x:c r="A16" t="str">
        <x:v>Checklist premium imprimível</x:v>
      </x:c>
      <x:c r="B16" s="11" t="n">
        <x:v>15</x:v>
      </x:c>
      <x:c r="C16" s="18" t="n">
        <x:v>0.25</x:v>
      </x:c>
      <x:c r="D16" s="11" t="n">
        <x:f>B16*C16</x:f>
        <x:v>3.75</x:v>
      </x:c>
      <x:c r="E16" s="11" t="n">
        <x:f>D16*$B$7</x:f>
        <x:v>375</x:v>
      </x:c>
    </x:row>
    <x:row r="17">
      <x:c r="A17" t="str">
        <x:v>Planilha controle de obra</x:v>
      </x:c>
      <x:c r="B17" s="11" t="n">
        <x:v>30</x:v>
      </x:c>
      <x:c r="C17" s="18" t="n">
        <x:v>0.18</x:v>
      </x:c>
      <x:c r="D17" s="11" t="n">
        <x:f>B17*C17</x:f>
        <x:v>5.3999999999999995</x:v>
      </x:c>
      <x:c r="E17" s="11" t="n">
        <x:f>D17*$B$7</x:f>
        <x:v>540</x:v>
      </x:c>
    </x:row>
    <x:row r="18">
      <x:c r="A18" t="str">
        <x:v>Kit contratos sem surpresa</x:v>
      </x:c>
      <x:c r="B18" s="11" t="n">
        <x:v>47</x:v>
      </x:c>
      <x:c r="C18" s="18" t="n">
        <x:v>0.12</x:v>
      </x:c>
      <x:c r="D18" s="11" t="n">
        <x:f>B18*C18</x:f>
        <x:v>5.64</x:v>
      </x:c>
      <x:c r="E18" s="11" t="n">
        <x:f>D18*$B$7</x:f>
        <x:v>564</x:v>
      </x:c>
    </x:row>
    <x:row r="19">
      <x:c r="A19" s="21" t="str">
        <x:v>Total esperado</x:v>
      </x:c>
      <x:c r="B19" s="21"/>
      <x:c r="C19" s="21"/>
      <x:c r="D19" s="22" t="n">
        <x:f>SUM(D16:D18)</x:f>
        <x:v>14.79</x:v>
      </x:c>
      <x:c r="E19" s="22" t="n">
        <x:f>SUM(E16:E18)</x:f>
        <x:v>1479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75" hidden="0" customWidth="1"/>
    <x:col min="2" max="2" width="35.75" hidden="0" customWidth="1"/>
    <x:col min="3" max="3" width="35.75" hidden="0" customWidth="1"/>
    <x:col min="4" max="4" width="35.75" hidden="0" customWidth="1"/>
    <x:col min="5" max="5" width="49" hidden="0" customWidth="1"/>
  </x:cols>
  <x:sheetData>
    <x:row r="1" ht="31.5" customHeight="1">
      <x:c r="A1" s="4" t="str">
        <x:v>Premissas editáveis de taxas</x:v>
      </x:c>
      <x:c r="B1" s="4" t="str">
        <x:v>Premissas editáveis de taxas</x:v>
      </x:c>
      <x:c r="C1" s="4" t="str">
        <x:v>Premissas editáveis de taxas</x:v>
      </x:c>
      <x:c r="D1" s="4" t="str">
        <x:v>Premissas editáveis de taxas</x:v>
      </x:c>
      <x:c r="E1" s="4" t="str">
        <x:v>Premissas editáveis de taxas</x:v>
      </x:c>
    </x:row>
    <x:row r="3">
      <x:c r="A3" s="9" t="str">
        <x:v>Plataforma</x:v>
      </x:c>
      <x:c r="B3" s="9" t="str">
        <x:v>Taxa %</x:v>
      </x:c>
      <x:c r="C3" s="9" t="str">
        <x:v>Taxa fixa por venda</x:v>
      </x:c>
      <x:c r="D3" s="9" t="str">
        <x:v>Mensalidade</x:v>
      </x:c>
      <x:c r="E3" s="9" t="str">
        <x:v>Observação</x:v>
      </x:c>
    </x:row>
    <x:row r="4">
      <x:c r="A4" t="str">
        <x:v>Hotmart</x:v>
      </x:c>
      <x:c r="B4" s="10" t="n">
        <x:v>0.099</x:v>
      </x:c>
      <x:c r="C4" s="11" t="n">
        <x:v>1</x:v>
      </x:c>
      <x:c r="D4" s="11" t="n">
        <x:v>0</x:v>
      </x:c>
      <x:c r="E4" t="str">
        <x:v>Valores iniciais editáveis; confira as taxas atuais antes de publicar.</x:v>
      </x:c>
    </x:row>
    <x:row r="5">
      <x:c r="A5" t="str">
        <x:v>Systeme.io</x:v>
      </x:c>
      <x:c r="B5" s="10" t="n">
        <x:v>0.0499</x:v>
      </x:c>
      <x:c r="C5" s="11" t="n">
        <x:v>0.5</x:v>
      </x:c>
      <x:c r="D5" s="11" t="n">
        <x:v>0</x:v>
      </x:c>
      <x:c r="E5" t="str">
        <x:v>Use a taxa do gateway/plano contratado. Campos são editáveis.</x:v>
      </x:c>
    </x:row>
    <x:row r="6">
      <x:c r="A6" t="str">
        <x:v>Manual</x:v>
      </x:c>
      <x:c r="B6" s="10" t="n">
        <x:v>0.04</x:v>
      </x:c>
      <x:c r="C6" s="11" t="n">
        <x:v>0.4</x:v>
      </x:c>
      <x:c r="D6" s="11" t="n">
        <x:v>0</x:v>
      </x:c>
      <x:c r="E6" t="str">
        <x:v>Linha livre para testar outro checkout ou gateway.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130001068115234" hidden="0" customWidth="1"/>
    <x:col min="2" max="2" width="45.130001068115234" hidden="0" customWidth="1"/>
    <x:col min="3" max="3" width="45.130001068115234" hidden="0" customWidth="1"/>
    <x:col min="4" max="4" width="45.130001068115234" hidden="0" customWidth="1"/>
  </x:cols>
  <x:sheetData>
    <x:row r="1" ht="31.5" customHeight="1">
      <x:c r="A1" s="4" t="str">
        <x:v>Checklist para colocar a venda no ar</x:v>
      </x:c>
      <x:c r="B1" s="4" t="str">
        <x:v>Checklist para colocar a venda no ar</x:v>
      </x:c>
      <x:c r="C1" s="4" t="str">
        <x:v>Checklist para colocar a venda no ar</x:v>
      </x:c>
      <x:c r="D1" s="4" t="str">
        <x:v>Checklist para colocar a venda no ar</x:v>
      </x:c>
    </x:row>
    <x:row r="3">
      <x:c r="A3" s="9" t="str">
        <x:v>Status</x:v>
      </x:c>
      <x:c r="B3" s="9" t="str">
        <x:v>Etapa</x:v>
      </x:c>
      <x:c r="C3" s="9" t="str">
        <x:v>O que conferir</x:v>
      </x:c>
      <x:c r="D3" s="9" t="str">
        <x:v>Observação</x:v>
      </x:c>
    </x:row>
    <x:row r="4">
      <x:c r="A4" t="str">
        <x:v>Pendente</x:v>
      </x:c>
      <x:c r="B4" t="str">
        <x:v>Página de vendas</x:v>
      </x:c>
      <x:c r="C4" t="str">
        <x:v>Texto, vídeo, CTA, preço e bônus revisados</x:v>
      </x:c>
      <x:c r="D4" t="str"/>
    </x:row>
    <x:row r="5">
      <x:c r="A5" t="str">
        <x:v>Pendente</x:v>
      </x:c>
      <x:c r="B5" t="str">
        <x:v>Checkout</x:v>
      </x:c>
      <x:c r="C5" t="str">
        <x:v>Preço principal, order bumps e garantia configurados</x:v>
      </x:c>
      <x:c r="D5" t="str"/>
    </x:row>
    <x:row r="6">
      <x:c r="A6" t="str">
        <x:v>Pendente</x:v>
      </x:c>
      <x:c r="B6" t="str">
        <x:v>Entrega</x:v>
      </x:c>
      <x:c r="C6" t="str">
        <x:v>PDF principal e bônus anexados ou automatizados</x:v>
      </x:c>
      <x:c r="D6" t="str"/>
    </x:row>
    <x:row r="7">
      <x:c r="A7" t="str">
        <x:v>Pendente</x:v>
      </x:c>
      <x:c r="B7" t="str">
        <x:v>E-mail</x:v>
      </x:c>
      <x:c r="C7" t="str">
        <x:v>Mensagem de acesso e suporte testada</x:v>
      </x:c>
      <x:c r="D7" t="str"/>
    </x:row>
    <x:row r="8">
      <x:c r="A8" t="str">
        <x:v>Pendente</x:v>
      </x:c>
      <x:c r="B8" t="str">
        <x:v>Pagamento</x:v>
      </x:c>
      <x:c r="C8" t="str">
        <x:v>Pix, cartão e boleto revisados</x:v>
      </x:c>
      <x:c r="D8" t="str"/>
    </x:row>
    <x:row r="9">
      <x:c r="A9" t="str">
        <x:v>Pendente</x:v>
      </x:c>
      <x:c r="B9" t="str">
        <x:v>Teste real</x:v>
      </x:c>
      <x:c r="C9" t="str">
        <x:v>Compra teste feita de ponta a ponta</x:v>
      </x:c>
      <x:c r="D9" t="str"/>
    </x:row>
    <x:row r="10">
      <x:c r="A10" t="str">
        <x:v>Pendente</x:v>
      </x:c>
      <x:c r="B10" t="str">
        <x:v>Taxas</x:v>
      </x:c>
      <x:c r="C10" t="str">
        <x:v>Taxas e líquido conferidos na planilha</x:v>
      </x:c>
      <x:c r="D10" t="str"/>
    </x:row>
    <x:row r="11">
      <x:c r="A11" t="str">
        <x:v>Pendente</x:v>
      </x:c>
      <x:c r="B11" t="str">
        <x:v>Links</x:v>
      </x:c>
      <x:c r="C11" t="str">
        <x:v>Botões da página apontando para o checkout correto</x:v>
      </x:c>
      <x:c r="D11" t="str"/>
    </x:row>
    <x:row r="12">
      <x:c r="A12" t="str">
        <x:v>Pendente</x:v>
      </x:c>
      <x:c r="B12" t="str">
        <x:v>Pixel/analytics</x:v>
      </x:c>
      <x:c r="C12" t="str">
        <x:v>Medição configurada, se usar tráfego pago</x:v>
      </x:c>
      <x:c r="D12" t="str"/>
    </x:row>
    <x:row r="13">
      <x:c r="A13" t="str">
        <x:v>Pendente</x:v>
      </x:c>
      <x:c r="B13" t="str">
        <x:v>Suporte</x:v>
      </x:c>
      <x:c r="C13" t="str">
        <x:v>Canal de atendimento definido</x:v>
      </x:c>
      <x:c r="D13" t="str"/>
    </x:row>
    <x:row r="14">
      <x:c r="A14" t="str">
        <x:v>Pendente</x:v>
      </x:c>
      <x:c r="B14" t="str">
        <x:v>Publicação</x:v>
      </x:c>
      <x:c r="C14" t="str">
        <x:v>Arquivo final salvo e divulgado</x:v>
      </x:c>
      <x:c r="D14" t="str"/>
    </x:row>
  </x:sheetData>
  <x:mergeCells>
    <x:mergeCell ref="A1:D1"/>
  </x:mergeCells>
  <x:dataValidations count="1">
    <x:dataValidation type="list" sqref="A4:A14">
      <x:formula1>"Pendente,Em andamento,Concluído"</x:formula1>
    </x:dataValidation>
  </x:dataValidations>
  <x:pageMargins left="0.7" right="0.7" top="0.75" bottom="0.75" header="0.3" footer="0.3"/>
</x:worksheet>
</file>